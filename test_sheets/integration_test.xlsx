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Phan cong" sheetId="1" state="visible" r:id="rId1"/>
    <sheet name="Test cas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rlito"/>
      <color rgb="FF000000"/>
      <sz val="11"/>
      <scheme val="minor"/>
    </font>
    <font>
      <name val="Arial"/>
      <family val="2"/>
      <b val="1"/>
      <color rgb="FF17365D"/>
      <sz val="16"/>
    </font>
    <font>
      <name val="Arial"/>
      <family val="2"/>
      <i val="1"/>
      <color rgb="FF5B6573"/>
      <sz val="10"/>
    </font>
    <font>
      <name val="Carlito"/>
      <color theme="1"/>
      <sz val="11"/>
    </font>
    <font>
      <name val="Arial"/>
      <family val="2"/>
      <b val="1"/>
      <color rgb="FF17365D"/>
      <sz val="10"/>
    </font>
    <font>
      <name val="Arial"/>
      <family val="2"/>
      <b val="1"/>
      <color rgb="FF2F75B5"/>
      <sz val="12"/>
    </font>
    <font>
      <name val="Arial"/>
      <family val="2"/>
      <b val="1"/>
      <color rgb="FFFFFFFF"/>
      <sz val="10"/>
    </font>
    <font>
      <name val="Arial"/>
      <family val="2"/>
      <color rgb="FF1F2937"/>
      <sz val="10"/>
    </font>
    <font>
      <name val="Arial"/>
      <family val="2"/>
      <b val="1"/>
      <color rgb="FF1F2937"/>
      <sz val="10"/>
    </font>
  </fonts>
  <fills count="12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EEF5FB"/>
        <bgColor rgb="FFEEF5FB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7365D"/>
        <bgColor rgb="FF17365D"/>
      </patternFill>
    </fill>
    <fill>
      <patternFill patternType="solid">
        <fgColor rgb="FFFFF4CC"/>
        <bgColor rgb="FFFFF4CC"/>
      </patternFill>
    </fill>
    <fill>
      <patternFill patternType="solid">
        <fgColor rgb="FFE7E6E6"/>
        <bgColor rgb="FFE7E6E6"/>
      </patternFill>
    </fill>
    <fill>
      <patternFill patternType="solid">
        <fgColor rgb="FFFFFDF2"/>
        <bgColor rgb="FFFFFDF2"/>
      </patternFill>
    </fill>
    <fill>
      <patternFill patternType="solid">
        <fgColor rgb="FF2F75B5"/>
        <bgColor rgb="FF2F75B5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 style="thin">
        <color rgb="FFFFFFFF"/>
      </right>
      <top/>
      <bottom style="medium">
        <color rgb="FF17365D"/>
      </bottom>
      <diagonal/>
    </border>
    <border>
      <left style="thin">
        <color rgb="FFFFFFFF"/>
      </left>
      <right/>
      <top/>
      <bottom style="medium">
        <color rgb="FF17365D"/>
      </bottom>
      <diagonal/>
    </border>
    <border>
      <left/>
      <right/>
      <top/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FFFFFF"/>
      </right>
      <top/>
      <bottom style="medium">
        <color rgb="FF2F75B5"/>
      </bottom>
      <diagonal/>
    </border>
    <border>
      <left style="thin">
        <color rgb="FFFFFFFF"/>
      </left>
      <right style="thin">
        <color rgb="FFFFFFFF"/>
      </right>
      <top/>
      <bottom style="medium">
        <color rgb="FF2F75B5"/>
      </bottom>
      <diagonal/>
    </border>
    <border>
      <left style="thin">
        <color rgb="FFFFFFFF"/>
      </left>
      <right/>
      <top/>
      <bottom style="medium">
        <color rgb="FF2F75B5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2" applyAlignment="1" pivotButton="0" quotePrefix="0" xfId="0">
      <alignment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top" wrapText="1"/>
    </xf>
    <xf numFmtId="0" fontId="8" fillId="5" borderId="6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horizontal="center" vertical="top" wrapText="1"/>
    </xf>
    <xf numFmtId="0" fontId="4" fillId="3" borderId="7" applyAlignment="1" pivotButton="0" quotePrefix="0" xfId="0">
      <alignment horizontal="center" vertical="top" wrapText="1"/>
    </xf>
    <xf numFmtId="0" fontId="7" fillId="0" borderId="7" applyAlignment="1" pivotButton="0" quotePrefix="0" xfId="0">
      <alignment vertical="top" wrapText="1"/>
    </xf>
    <xf numFmtId="0" fontId="7" fillId="0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0" borderId="8" applyAlignment="1" pivotButton="0" quotePrefix="0" xfId="0">
      <alignment vertical="top" wrapText="1"/>
    </xf>
    <xf numFmtId="0" fontId="8" fillId="9" borderId="7" applyAlignment="1" pivotButton="0" quotePrefix="0" xfId="0">
      <alignment horizontal="center" vertical="top" wrapText="1"/>
    </xf>
    <xf numFmtId="0" fontId="7" fillId="10" borderId="7" applyAlignment="1" pivotButton="0" quotePrefix="0" xfId="0">
      <alignment vertical="top" wrapText="1"/>
    </xf>
    <xf numFmtId="0" fontId="7" fillId="3" borderId="6" applyAlignment="1" pivotButton="0" quotePrefix="0" xfId="0">
      <alignment vertical="top" wrapText="1"/>
    </xf>
    <xf numFmtId="0" fontId="7" fillId="5" borderId="6" applyAlignment="1" pivotButton="0" quotePrefix="0" xfId="0">
      <alignment vertical="top" wrapText="1"/>
    </xf>
    <xf numFmtId="0" fontId="7" fillId="9" borderId="6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6" fillId="11" borderId="9" applyAlignment="1" pivotButton="0" quotePrefix="0" xfId="0">
      <alignment horizontal="center"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/>
  </cellStyles>
  <dxfs count="10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375623"/>
      </font>
      <fill>
        <patternFill patternType="solid">
          <fgColor rgb="FFE2F0D9"/>
          <bgColor rgb="FFE2F0D9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CE4D6"/>
          <bgColor rgb="FFFCE4D6"/>
        </patternFill>
      </fill>
    </dxf>
    <dxf>
      <font>
        <color rgb="FF375623"/>
      </font>
      <fill>
        <patternFill patternType="solid">
          <fgColor rgb="FFE2F0D9"/>
          <bgColor rgb="FFE2F0D9"/>
        </patternFill>
      </fill>
    </dxf>
    <dxf>
      <font>
        <color rgb="FF1F4E78"/>
      </font>
      <fill>
        <patternFill patternType="solid">
          <fgColor rgb="FFDDEBF7"/>
          <bgColor rgb="FFDDEBF7"/>
        </patternFill>
      </fill>
    </dxf>
    <dxf>
      <font>
        <color rgb="FF595959"/>
      </font>
      <fill>
        <patternFill patternType="solid">
          <fgColor rgb="FFE7E6E6"/>
          <bgColor rgb="FFE7E6E6"/>
        </patternFill>
      </fill>
    </dxf>
    <dxf>
      <font>
        <b val="1"/>
        <color rgb="FF7F6000"/>
      </font>
      <fill>
        <patternFill patternType="solid">
          <fgColor rgb="FFFFF2CC"/>
          <bgColor rgb="FFFFF2CC"/>
        </patternFill>
      </fill>
    </dxf>
    <dxf>
      <font>
        <b val="1"/>
        <color rgb="FF9C0006"/>
      </font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365D"/>
    <outlinePr summaryBelow="1" summaryRight="1"/>
    <pageSetUpPr/>
  </sheetPr>
  <dimension ref="A2:K28"/>
  <sheetViews>
    <sheetView showGridLines="0" workbookViewId="0">
      <pane xSplit="2" ySplit="8" topLeftCell="C10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baseColWidth="8" defaultColWidth="12.59765625" defaultRowHeight="15" customHeight="1"/>
  <cols>
    <col width="18" customWidth="1" min="1" max="1"/>
    <col width="28" customWidth="1" min="2" max="3"/>
    <col width="44" customWidth="1" min="4" max="4"/>
    <col width="10" customWidth="1" min="5" max="5"/>
    <col width="38" customWidth="1" min="6" max="6"/>
    <col width="44" customWidth="1" min="7" max="7"/>
    <col width="38" customWidth="1" min="8" max="8"/>
    <col width="18" customWidth="1" min="9" max="9"/>
    <col width="26" customWidth="1" min="10" max="10"/>
    <col width="20" customWidth="1" min="11" max="11"/>
    <col width="8.59765625" customWidth="1" min="12" max="26"/>
  </cols>
  <sheetData>
    <row r="1" ht="13.8" customHeight="1"/>
    <row r="2" ht="21" customHeight="1">
      <c r="A2" s="1" t="inlineStr">
        <is>
          <t>EduRepo - Integration Test (kiểm tra kết nối) - Phân công nhóm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3.8" customHeight="1">
      <c r="A3" s="2" t="inlineStr">
        <is>
          <t>EDR-QA-IT-001 | 5 người | Trần Trung Hiếu là nhóm trưởng | Ngày 4-5: kiểm tra kết nối lần 1; Ngày 7-8: kiểm tra lại với MySQL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3.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5.5" customHeight="1">
      <c r="A5" s="4" t="inlineStr">
        <is>
          <t>Tổng bài</t>
        </is>
      </c>
      <c r="B5" s="5">
        <f>'Test cases'!B5</f>
        <v/>
      </c>
      <c r="C5" s="4" t="inlineStr">
        <is>
          <t>Đã làm</t>
        </is>
      </c>
      <c r="D5" s="5">
        <f>'Test cases'!D5</f>
        <v/>
      </c>
      <c r="E5" s="4" t="inlineStr">
        <is>
          <t>Bị vướng</t>
        </is>
      </c>
      <c r="F5" s="7">
        <f>'Test cases'!H5</f>
        <v/>
      </c>
      <c r="G5" s="4" t="inlineStr">
        <is>
          <t>Chờ kiểm tra</t>
        </is>
      </c>
      <c r="H5" s="5">
        <f>COUNTIF('Test cases'!$S$9:$S$238,"Chờ kiểm tra")</f>
        <v/>
      </c>
      <c r="I5" s="4" t="inlineStr">
        <is>
          <t>Tỷ lệ đạt</t>
        </is>
      </c>
      <c r="J5" s="9">
        <f>'Test cases'!L5</f>
        <v/>
      </c>
    </row>
    <row r="6" ht="13.8" customHeight="1"/>
    <row r="7" ht="13.8" customHeight="1"/>
    <row r="8" ht="42" customHeight="1">
      <c r="A8" s="10" t="inlineStr">
        <is>
          <t>STT</t>
        </is>
      </c>
      <c r="B8" s="11" t="inlineStr">
        <is>
          <t>Họ tên</t>
        </is>
      </c>
      <c r="C8" s="11" t="inlineStr">
        <is>
          <t>Vai trò trong nhóm</t>
        </is>
      </c>
      <c r="D8" s="11" t="inlineStr">
        <is>
          <t>Phần việc phụ trách</t>
        </is>
      </c>
      <c r="E8" s="11" t="inlineStr">
        <is>
          <t>Số bài</t>
        </is>
      </c>
      <c r="F8" s="11" t="inlineStr">
        <is>
          <t>Mã bài kiểm tra</t>
        </is>
      </c>
      <c r="G8" s="11" t="inlineStr">
        <is>
          <t>Quyền hạn</t>
        </is>
      </c>
      <c r="H8" s="11" t="inlineStr">
        <is>
          <t>Kết quả cần đạt</t>
        </is>
      </c>
      <c r="I8" s="11" t="inlineStr">
        <is>
          <t>Người hỗ trợ</t>
        </is>
      </c>
      <c r="J8" s="11" t="inlineStr">
        <is>
          <t>Báo cáo cho</t>
        </is>
      </c>
      <c r="K8" s="12" t="inlineStr">
        <is>
          <t>Tình trạng</t>
        </is>
      </c>
    </row>
    <row r="9" ht="91.5" customHeight="1">
      <c r="A9" s="13" t="n">
        <v>1</v>
      </c>
      <c r="B9" s="14" t="inlineStr">
        <is>
          <t>Trần Trung Hiếu</t>
        </is>
      </c>
      <c r="C9" s="15" t="inlineStr">
        <is>
          <t>Nhóm trưởng kiểm thử</t>
        </is>
      </c>
      <c r="D9" s="15" t="inlineStr">
        <is>
          <t>Phụ trách toàn diện nhóm, kiểm thử bảo mật &amp; luồng cốt lõi.</t>
        </is>
      </c>
      <c r="E9" s="13" t="n">
        <v>46</v>
      </c>
      <c r="F9" s="15" t="inlineStr">
        <is>
          <t>IT-001..IT-046</t>
        </is>
      </c>
      <c r="G9" s="15" t="inlineStr">
        <is>
          <t>Sắp xếp việc quan trọng, điều phối thành viên, mở/đóng đợt kiểm tra và đề xuất bàn giao.</t>
        </is>
      </c>
      <c r="H9" s="15" t="inlineStr">
        <is>
          <t>Hoàn thành các bài quan trọng; không còn lỗi nghiêm trọng; báo cáo đúng hạn.</t>
        </is>
      </c>
      <c r="I9" s="15" t="inlineStr">
        <is>
          <t>Nguyễn Duy Phương</t>
        </is>
      </c>
      <c r="J9" s="15" t="inlineStr">
        <is>
          <t>Sếp</t>
        </is>
      </c>
      <c r="K9" s="15" t="inlineStr">
        <is>
          <t>Đã hoàn thành</t>
        </is>
      </c>
    </row>
    <row r="10" ht="91.5" customHeight="1">
      <c r="A10" s="19" t="n">
        <v>2</v>
      </c>
      <c r="B10" s="20" t="inlineStr">
        <is>
          <t>Nguyễn Tuấn Minh</t>
        </is>
      </c>
      <c r="C10" s="22" t="inlineStr">
        <is>
          <t>Thành viên - Quản lý Học liệu &amp; Phê duyệt</t>
        </is>
      </c>
      <c r="D10" s="22" t="inlineStr">
        <is>
          <t>Phụ trách quản lý tài liệu, upload, tệp đính kèm và kiểm duyệt.</t>
        </is>
      </c>
      <c r="E10" s="19" t="n">
        <v>46</v>
      </c>
      <c r="F10" s="22" t="inlineStr">
        <is>
          <t>IT-047..IT-092</t>
        </is>
      </c>
      <c r="G10" s="22" t="inlineStr">
        <is>
          <t>Xác nhận phần đăng nhập và quyền truy cập đã được kiểm tra đủ; báo ngay khi có nguy cơ vượt quyền.</t>
        </is>
      </c>
      <c r="H10" s="22" t="inlineStr">
        <is>
          <t>Hoàn thành 4/4 bài; có đủ bằng chứng; không bỏ sót đường dẫn truy cập.</t>
        </is>
      </c>
      <c r="I10" s="22" t="inlineStr">
        <is>
          <t>Nguyễn Huy Hải</t>
        </is>
      </c>
      <c r="J10" s="22" t="inlineStr">
        <is>
          <t>Trần Trung Hiếu</t>
        </is>
      </c>
      <c r="K10" s="22" t="inlineStr">
        <is>
          <t>Đã hoàn thành</t>
        </is>
      </c>
    </row>
    <row r="11" ht="91.5" customHeight="1">
      <c r="A11" s="19" t="n">
        <v>3</v>
      </c>
      <c r="B11" s="20" t="inlineStr">
        <is>
          <t>Nguyễn Huy Hải</t>
        </is>
      </c>
      <c r="C11" s="22" t="inlineStr">
        <is>
          <t>Thành viên - Thư viện &amp; Tiền xử lý Học liệu</t>
        </is>
      </c>
      <c r="D11" s="22" t="inlineStr">
        <is>
          <t>Phụ trách không gian học tập, bộ sưu tập và trích xuất tài liệu.</t>
        </is>
      </c>
      <c r="E11" s="19" t="n">
        <v>46</v>
      </c>
      <c r="F11" s="22" t="inlineStr">
        <is>
          <t>IT-093..IT-138</t>
        </is>
      </c>
      <c r="G11" s="22" t="inlineStr">
        <is>
          <t>Dừng kiểm tra nếu có nguy cơ mất tệp; xác nhận dữ liệu được giữ an toàn.</t>
        </is>
      </c>
      <c r="H11" s="22" t="inlineStr">
        <is>
          <t>Hoàn thành 4/4 bài; tệp và cơ sở dữ liệu khớp; không để lại dữ liệu rác.</t>
        </is>
      </c>
      <c r="I11" s="22" t="inlineStr">
        <is>
          <t>Nguyễn Duy Phương</t>
        </is>
      </c>
      <c r="J11" s="22" t="inlineStr">
        <is>
          <t>Trần Trung Hiếu</t>
        </is>
      </c>
      <c r="K11" s="22" t="inlineStr">
        <is>
          <t>Đã hoàn thành</t>
        </is>
      </c>
    </row>
    <row r="12" ht="91.5" customHeight="1">
      <c r="A12" s="19" t="n">
        <v>4</v>
      </c>
      <c r="B12" s="20" t="inlineStr">
        <is>
          <t>Nguyễn Duy Phương</t>
        </is>
      </c>
      <c r="C12" s="22" t="inlineStr">
        <is>
          <t>Thành viên - Pipeline RAG &amp; Vector Ingestion</t>
        </is>
      </c>
      <c r="D12" s="22" t="inlineStr">
        <is>
          <t>Phụ trách phân đoạn học liệu, trích xuất OCR và sinh vector ngữ nghĩa.</t>
        </is>
      </c>
      <c r="E12" s="19" t="n">
        <v>46</v>
      </c>
      <c r="F12" s="22" t="inlineStr">
        <is>
          <t>IT-139..IT-184</t>
        </is>
      </c>
      <c r="G12" s="22" t="inlineStr">
        <is>
          <t>Xác nhận các bước kiểm duyệt chạy đúng; sắp xếp kiểm tra lại phần bị ảnh hưởng.</t>
        </is>
      </c>
      <c r="H12" s="22" t="inlineStr">
        <is>
          <t>Hoàn thành 4/4 bài; mọi lần đổi trạng thái có lịch sử; kiểm tra lại đúng hạn.</t>
        </is>
      </c>
      <c r="I12" s="22" t="inlineStr">
        <is>
          <t>Nguyễn Thành Nam</t>
        </is>
      </c>
      <c r="J12" s="22" t="inlineStr">
        <is>
          <t>Trần Trung Hiếu</t>
        </is>
      </c>
      <c r="K12" s="22" t="inlineStr">
        <is>
          <t>Đã hoàn thành</t>
        </is>
      </c>
    </row>
    <row r="13" ht="91.5" customHeight="1">
      <c r="A13" s="19" t="n">
        <v>5</v>
      </c>
      <c r="B13" s="20" t="inlineStr">
        <is>
          <t>Nguyễn Thành Nam</t>
        </is>
      </c>
      <c r="C13" s="22" t="inlineStr">
        <is>
          <t>Thành viên - Trợ lý AI Chatbot &amp; An toàn LLM</t>
        </is>
      </c>
      <c r="D13" s="22" t="inlineStr">
        <is>
          <t>Phụ trách hỏi đáp RAG, Tool Calling, Rate Limiter và phòng vệ an toàn bot.</t>
        </is>
      </c>
      <c r="E13" s="19" t="n">
        <v>46</v>
      </c>
      <c r="F13" s="22" t="inlineStr">
        <is>
          <t>IT-185..IT-230</t>
        </is>
      </c>
      <c r="G13" s="22" t="inlineStr">
        <is>
          <t>Xác nhận giao diện và trình duyệt hoạt động tốt; tổng hợp các vấn đề còn lại.</t>
        </is>
      </c>
      <c r="H13" s="22" t="inlineStr">
        <is>
          <t>Hoàn thành 4/4 bài; Chrome và Edge đạt; báo ngay khi bị vướng.</t>
        </is>
      </c>
      <c r="I13" s="22" t="inlineStr">
        <is>
          <t>Trần Trung Hiếu</t>
        </is>
      </c>
      <c r="J13" s="22" t="inlineStr">
        <is>
          <t>Trần Trung Hiếu</t>
        </is>
      </c>
      <c r="K13" s="22" t="inlineStr">
        <is>
          <t>Đã hoàn thành</t>
        </is>
      </c>
    </row>
    <row r="14" ht="13.8" customHeight="1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3.8" customHeight="1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3.8" customHeight="1">
      <c r="A16" s="29" t="inlineStr">
        <is>
          <t>Công việc</t>
        </is>
      </c>
      <c r="B16" s="30" t="inlineStr">
        <is>
          <t>Thời điểm</t>
        </is>
      </c>
      <c r="C16" s="30" t="inlineStr">
        <is>
          <t>Người phụ trách</t>
        </is>
      </c>
      <c r="D16" s="30" t="inlineStr">
        <is>
          <t>Người tham gia</t>
        </is>
      </c>
      <c r="E16" s="30" t="inlineStr">
        <is>
          <t>Chuẩn bị</t>
        </is>
      </c>
      <c r="F16" s="30" t="inlineStr">
        <is>
          <t>Kết quả cần có</t>
        </is>
      </c>
      <c r="G16" s="30" t="inlineStr">
        <is>
          <t>Thời gian xử lý</t>
        </is>
      </c>
      <c r="H16" s="31" t="inlineStr">
        <is>
          <t>Khi nào cần báo nhóm trưởng</t>
        </is>
      </c>
      <c r="I16" s="28" t="n"/>
      <c r="J16" s="28" t="n"/>
      <c r="K16" s="28" t="n"/>
    </row>
    <row r="17" ht="61.5" customHeight="1">
      <c r="A17" s="15" t="inlineStr">
        <is>
          <t>Họp bắt đầu và kiểm tra chuẩn bị</t>
        </is>
      </c>
      <c r="B17" s="15" t="inlineStr">
        <is>
          <t>Đầu mỗi đợt kiểm tra</t>
        </is>
      </c>
      <c r="C17" s="15" t="inlineStr">
        <is>
          <t>Nhóm trưởng</t>
        </is>
      </c>
      <c r="D17" s="15" t="inlineStr">
        <is>
          <t>Cả nhóm</t>
        </is>
      </c>
      <c r="E17" s="15" t="inlineStr">
        <is>
          <t>Bản phần mềm, phần cần kiểm tra, môi trường và dữ liệu</t>
        </is>
      </c>
      <c r="F17" s="15" t="inlineStr">
        <is>
          <t>Kế hoạch và xác nhận đã sẵn sàng</t>
        </is>
      </c>
      <c r="G17" s="15" t="inlineStr">
        <is>
          <t>Trước khi làm bài đầu tiên</t>
        </is>
      </c>
      <c r="H17" s="15" t="inlineStr">
        <is>
          <t>Thiếu bản phần mềm, dữ liệu hoặc quyền truy cập: chưa bắt đầu</t>
        </is>
      </c>
      <c r="I17" s="28" t="n"/>
      <c r="J17" s="28" t="n"/>
      <c r="K17" s="28" t="n"/>
    </row>
    <row r="18" ht="61.5" customHeight="1">
      <c r="A18" s="22" t="inlineStr">
        <is>
          <t>Họp nhanh hằng ngày</t>
        </is>
      </c>
      <c r="B18" s="22" t="inlineStr">
        <is>
          <t>08:30 hằng ngày</t>
        </is>
      </c>
      <c r="C18" s="22" t="inlineStr">
        <is>
          <t>Nhóm trưởng</t>
        </is>
      </c>
      <c r="D18" s="22" t="inlineStr">
        <is>
          <t>Cả nhóm</t>
        </is>
      </c>
      <c r="E18" s="22" t="inlineStr">
        <is>
          <t>Kết quả hôm trước, việc bị vướng và kế hoạch hôm nay</t>
        </is>
      </c>
      <c r="F18" s="22" t="inlineStr">
        <is>
          <t>Việc cần làm trong ngày và người xử lý vướng mắc</t>
        </is>
      </c>
      <c r="G18" s="22" t="inlineStr">
        <is>
          <t>15 phút</t>
        </is>
      </c>
      <c r="H18" s="22" t="inlineStr">
        <is>
          <t>Bị vướng quá 2 giờ: báo nhóm trưởng ngay</t>
        </is>
      </c>
      <c r="I18" s="28" t="n"/>
      <c r="J18" s="28" t="n"/>
      <c r="K18" s="28" t="n"/>
    </row>
    <row r="19" ht="61.5" customHeight="1">
      <c r="A19" s="22" t="inlineStr">
        <is>
          <t>Cập nhật bảng</t>
        </is>
      </c>
      <c r="B19" s="22" t="inlineStr">
        <is>
          <t>11:30 và 16:30</t>
        </is>
      </c>
      <c r="C19" s="22" t="inlineStr">
        <is>
          <t>Từng thành viên</t>
        </is>
      </c>
      <c r="D19" s="22" t="inlineStr">
        <is>
          <t>Theo phần được giao</t>
        </is>
      </c>
      <c r="E19" s="22" t="inlineStr">
        <is>
          <t>Kết quả thực tế, bằng chứng và mã lỗi</t>
        </is>
      </c>
      <c r="F19" s="22" t="inlineStr">
        <is>
          <t>Trạng thái và việc tiếp theo mới nhất</t>
        </is>
      </c>
      <c r="G19" s="22" t="inlineStr">
        <is>
          <t>Trong 30 phút sau khi kiểm tra</t>
        </is>
      </c>
      <c r="H19" s="22" t="inlineStr">
        <is>
          <t>Không có bằng chứng: chưa tính là hoàn thành</t>
        </is>
      </c>
      <c r="I19" s="28" t="n"/>
      <c r="J19" s="28" t="n"/>
      <c r="K19" s="28" t="n"/>
    </row>
    <row r="20" ht="61.5" customHeight="1">
      <c r="A20" s="22" t="inlineStr">
        <is>
          <t>Họp phân loại lỗi</t>
        </is>
      </c>
      <c r="B20" s="22" t="inlineStr">
        <is>
          <t>16:45 hoặc ngay khi có lỗi S1</t>
        </is>
      </c>
      <c r="C20" s="22" t="inlineStr">
        <is>
          <t>Nhóm trưởng</t>
        </is>
      </c>
      <c r="D20" s="22" t="inlineStr">
        <is>
          <t>Nhóm kiểm tra + người lập trình</t>
        </is>
      </c>
      <c r="E20" s="22" t="inlineStr">
        <is>
          <t>Lỗi mới, thông tin ghi lại, ảnh và mức ảnh hưởng</t>
        </is>
      </c>
      <c r="F20" s="22" t="inlineStr">
        <is>
          <t>Mức độ lỗi, người sửa và thời hạn</t>
        </is>
      </c>
      <c r="G20" s="22" t="inlineStr">
        <is>
          <t>S1: 30 phút; S2: trong ngày</t>
        </is>
      </c>
      <c r="H20" s="22" t="inlineStr">
        <is>
          <t>Lỗi nghiêm trọng, vượt quyền hoặc mất dữ liệu: báo ngay</t>
        </is>
      </c>
      <c r="I20" s="28" t="n"/>
      <c r="J20" s="28" t="n"/>
      <c r="K20" s="28" t="n"/>
    </row>
    <row r="21" ht="61.5" customHeight="1">
      <c r="A21" s="22" t="inlineStr">
        <is>
          <t>Kiểm tra lại lỗi và phần cũ</t>
        </is>
      </c>
      <c r="B21" s="22" t="inlineStr">
        <is>
          <t>Sau khi có bản sửa lỗi</t>
        </is>
      </c>
      <c r="C21" s="22" t="inlineStr">
        <is>
          <t>Thành viên phụ trách + người kiểm tra lại</t>
        </is>
      </c>
      <c r="D21" s="22" t="inlineStr">
        <is>
          <t>Người có liên quan</t>
        </is>
      </c>
      <c r="E21" s="22" t="inlineStr">
        <is>
          <t>Bản sửa lỗi và các phần bị ảnh hưởng</t>
        </is>
      </c>
      <c r="F21" s="22" t="inlineStr">
        <is>
          <t>Kết quả kiểm tra lại và bằng chứng</t>
        </is>
      </c>
      <c r="G21" s="22" t="inlineStr">
        <is>
          <t>Bài P0: 4 giờ; bài P1: 1 ngày</t>
        </is>
      </c>
      <c r="H21" s="22" t="inlineStr">
        <is>
          <t>Không đạt 2 lần: nhóm trưởng tìm nguyên nhân</t>
        </is>
      </c>
      <c r="I21" s="28" t="n"/>
      <c r="J21" s="28" t="n"/>
      <c r="K21" s="28" t="n"/>
    </row>
    <row r="22" ht="61.5" customHeight="1">
      <c r="A22" s="22" t="inlineStr">
        <is>
          <t>Xác nhận kết thúc</t>
        </is>
      </c>
      <c r="B22" s="22" t="inlineStr">
        <is>
          <t>Cuối đợt</t>
        </is>
      </c>
      <c r="C22" s="22" t="inlineStr">
        <is>
          <t>Nhóm trưởng</t>
        </is>
      </c>
      <c r="D22" s="22" t="inlineStr">
        <is>
          <t>Cả nhóm + người phê duyệt</t>
        </is>
      </c>
      <c r="E22" s="22" t="inlineStr">
        <is>
          <t>Số bài đã làm, số bài đạt, các lỗi và vấn đề còn lại</t>
        </is>
      </c>
      <c r="F22" s="22" t="inlineStr">
        <is>
          <t>Đề xuất cho phép hoặc chưa cho phép bàn giao</t>
        </is>
      </c>
      <c r="G22" s="22" t="inlineStr">
        <is>
          <t>Theo kế hoạch</t>
        </is>
      </c>
      <c r="H22" s="22" t="inlineStr">
        <is>
          <t>Chưa đủ điều kiện kết thúc: chưa bàn giao hoặc phải được cho phép đặc biệt</t>
        </is>
      </c>
      <c r="I22" s="28" t="n"/>
      <c r="J22" s="28" t="n"/>
      <c r="K22" s="28" t="n"/>
    </row>
    <row r="23" ht="15.75" customHeight="1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5.75" customHeight="1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42" customHeight="1">
      <c r="A25" s="32" t="n"/>
      <c r="B25" s="33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42" customHeight="1">
      <c r="A26" s="32" t="n"/>
      <c r="B26" s="33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42" customHeight="1">
      <c r="A27" s="32" t="n"/>
      <c r="B27" s="33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42" customHeight="1">
      <c r="A28" s="32" t="n"/>
      <c r="B28" s="33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9:K13">
    <cfRule type="containsText" priority="1" operator="containsText" dxfId="9" text="Cần hỗ trợ">
      <formula>NOT(ISERROR(SEARCH(("Cần hỗ trợ"),(K9))))</formula>
    </cfRule>
    <cfRule type="containsText" priority="2" operator="containsText" dxfId="8" text="Đang quá tải">
      <formula>NOT(ISERROR(SEARCH(("Đang quá tải"),(K9))))</formula>
    </cfRule>
  </conditionalFormatting>
  <dataValidations count="1">
    <dataValidation sqref="K9:K13" showDropDown="0" showInputMessage="0" showErrorMessage="0" allowBlank="1" type="list">
      <formula1>"Sẵn sàng,Đang quá tải,Vắng mặt,Cần hỗ trợ"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2F75B5"/>
    <outlinePr summaryBelow="1" summaryRight="1"/>
    <pageSetUpPr/>
  </sheetPr>
  <dimension ref="A2:T238"/>
  <sheetViews>
    <sheetView showGridLines="0" tabSelected="1" zoomScale="85" zoomScaleNormal="85" workbookViewId="0">
      <pane xSplit="2" ySplit="8" topLeftCell="C31" activePane="bottomRight" state="frozen"/>
      <selection pane="topRight" activeCell="C1" sqref="C1"/>
      <selection pane="bottomLeft" activeCell="A9" sqref="A9"/>
      <selection pane="bottomRight" activeCell="C10" sqref="C10"/>
    </sheetView>
  </sheetViews>
  <sheetFormatPr baseColWidth="8" defaultColWidth="12.59765625" defaultRowHeight="15" customHeight="1"/>
  <cols>
    <col width="6" customWidth="1" min="1" max="1"/>
    <col width="13" customWidth="1" min="2" max="2"/>
    <col width="45.8984375" customWidth="1" min="3" max="3"/>
    <col width="36" customWidth="1" min="4" max="4"/>
    <col width="38" customWidth="1" min="5" max="5"/>
    <col width="34" customWidth="1" min="6" max="6"/>
    <col width="46" customWidth="1" min="7" max="7"/>
    <col width="44" customWidth="1" min="8" max="8"/>
    <col width="9" customWidth="1" min="9" max="9"/>
    <col width="20" customWidth="1" min="10" max="10"/>
    <col width="28" customWidth="1" min="11" max="11"/>
    <col width="13" customWidth="1" min="12" max="12"/>
    <col width="44" customWidth="1" min="13" max="13"/>
    <col width="14" customWidth="1" min="14" max="14"/>
    <col width="28" customWidth="1" min="15" max="15"/>
    <col width="22" customWidth="1" min="16" max="16"/>
    <col width="14" customWidth="1" min="17" max="17"/>
    <col width="32" customWidth="1" min="18" max="18"/>
    <col width="17" customWidth="1" min="19" max="19"/>
    <col width="22" customWidth="1" min="20" max="20"/>
    <col width="8.59765625" customWidth="1" min="21" max="26"/>
  </cols>
  <sheetData>
    <row r="1" ht="13.8" customHeight="1"/>
    <row r="2" ht="21" customHeight="1">
      <c r="A2" s="1" t="inlineStr">
        <is>
          <t>EduRepo - Integration Test (kiểm tra kết nối) - Bảng thực hiện kiểm tra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3.8" customHeight="1">
      <c r="A3" s="2" t="inlineStr">
        <is>
          <t>EDR-QA-IT-001 | Mỗi bài có người thực hiện, người kiểm tra lại, mức ảnh hưởng và việc tiếp theo.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3.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15.6" customHeight="1">
      <c r="A5" s="4" t="inlineStr">
        <is>
          <t>Tổng bài</t>
        </is>
      </c>
      <c r="B5" s="5">
        <f>COUNTA(B9:B238)</f>
        <v/>
      </c>
      <c r="C5" s="4" t="inlineStr">
        <is>
          <t>Đạt</t>
        </is>
      </c>
      <c r="D5" s="6">
        <f>COUNTIF(L9:L238,"Đạt")</f>
        <v/>
      </c>
      <c r="E5" s="4" t="inlineStr">
        <is>
          <t>Không đạt</t>
        </is>
      </c>
      <c r="F5" s="8">
        <f>COUNTIF(L9:L238,"Không đạt")</f>
        <v/>
      </c>
      <c r="G5" s="4" t="inlineStr">
        <is>
          <t>Bị vướng</t>
        </is>
      </c>
      <c r="H5" s="7">
        <f>COUNTIF(L9:L238,"Bị vướng")</f>
        <v/>
      </c>
      <c r="I5" s="4" t="inlineStr">
        <is>
          <t>Đã kiểm tra</t>
        </is>
      </c>
      <c r="J5" s="5">
        <f>COUNTIF(S9:S238,"Đã kiểm tra")</f>
        <v/>
      </c>
      <c r="K5" s="4" t="inlineStr">
        <is>
          <t>Tỷ lệ đạt</t>
        </is>
      </c>
      <c r="L5" s="9">
        <f>IFERROR(COUNTIF(L9:L238,"Đạt")/(COUNTIF(L9:L238,"Đạt")+COUNTIF(L9:L238,"Không đạt")),0)</f>
        <v/>
      </c>
    </row>
    <row r="6" ht="13.8" customHeight="1"/>
    <row r="7" ht="13.8" customHeight="1"/>
    <row r="8" ht="43.5" customHeight="1">
      <c r="A8" s="10" t="inlineStr">
        <is>
          <t>STT</t>
        </is>
      </c>
      <c r="B8" s="11" t="inlineStr">
        <is>
          <t>Mã bài</t>
        </is>
      </c>
      <c r="C8" s="11" t="inlineStr">
        <is>
          <t>Mô-đun</t>
        </is>
      </c>
      <c r="D8" s="11" t="inlineStr">
        <is>
          <t>Mục tiêu</t>
        </is>
      </c>
      <c r="E8" s="11" t="inlineStr">
        <is>
          <t>Điều kiện trước khi làm</t>
        </is>
      </c>
      <c r="F8" s="11" t="inlineStr">
        <is>
          <t>Dữ liệu dùng để kiểm tra</t>
        </is>
      </c>
      <c r="G8" s="11" t="inlineStr">
        <is>
          <t>Cách thực hiện</t>
        </is>
      </c>
      <c r="H8" s="11" t="inlineStr">
        <is>
          <t>Kết quả cần đạt</t>
        </is>
      </c>
      <c r="I8" s="11" t="inlineStr">
        <is>
          <t>Mức ưu tiên (P0 cao nhất)</t>
        </is>
      </c>
      <c r="J8" s="11" t="inlineStr">
        <is>
          <t>Mã phần/rủi ro liên quan</t>
        </is>
      </c>
      <c r="K8" s="11" t="inlineStr">
        <is>
          <t>Người thực hiện</t>
        </is>
      </c>
      <c r="L8" s="11" t="inlineStr">
        <is>
          <t>Trạng thái</t>
        </is>
      </c>
      <c r="M8" s="11" t="inlineStr">
        <is>
          <t>Kết quả thực tế / Bằng chứng / Ghi chú</t>
        </is>
      </c>
      <c r="N8" s="11" t="inlineStr">
        <is>
          <t>Mã lỗi</t>
        </is>
      </c>
      <c r="O8" s="11" t="inlineStr">
        <is>
          <t>Người kiểm tra lại</t>
        </is>
      </c>
      <c r="P8" s="11" t="inlineStr">
        <is>
          <t>Lần kiểm tra</t>
        </is>
      </c>
      <c r="Q8" s="11" t="inlineStr">
        <is>
          <t>Hạn hoàn thành</t>
        </is>
      </c>
      <c r="R8" s="11" t="inlineStr">
        <is>
          <t>Ảnh hưởng nếu không đạt</t>
        </is>
      </c>
      <c r="S8" s="11" t="inlineStr">
        <is>
          <t>Kết quả kiểm tra lại</t>
        </is>
      </c>
      <c r="T8" s="11" t="inlineStr">
        <is>
          <t>Bàn giao / Việc tiếp theo</t>
        </is>
      </c>
    </row>
    <row r="9" ht="93.75" customHeight="1">
      <c r="A9" s="16" t="n">
        <v>1</v>
      </c>
      <c r="B9" s="17" t="inlineStr">
        <is>
          <t>IT-001</t>
        </is>
      </c>
      <c r="C9" s="18" t="inlineStr">
        <is>
          <t>Hạ tầng &amp; Hệ thống: Khởi động ứng dụng Spring Boot và kiểm tra trạng thái.</t>
        </is>
      </c>
      <c r="D9" s="18" t="inlineStr">
        <is>
          <t>Khởi động ứng dụng Spring Boot và kết nối thành công với MySQL, endpoint kiểm tra sức khỏe báo UP</t>
        </is>
      </c>
      <c r="E9" s="18" t="inlineStr">
        <is>
          <t>Cơ sở dữ liệu MySQL đang chạy; cấu hình kết nối trong file properties sẵn sàng</t>
        </is>
      </c>
      <c r="F9" s="18" t="inlineStr">
        <is>
          <t>Cấu hình kết nối MySQL và gọi endpoint /actuator/health</t>
        </is>
      </c>
      <c r="G9" s="18" t="inlineStr">
        <is>
          <t>1. Chạy ứng dụng Spring Boot.
2. Gửi request GET tới /actuator/health.
3. Kiểm tra mã trạng thái trả về.</t>
        </is>
      </c>
      <c r="H9" s="18" t="inlineStr">
        <is>
          <t>HTTP 200; JSON phản hồi hiển thị trạng thái UP và kết nối cơ sở dữ liệu hoạt động tốt.</t>
        </is>
      </c>
      <c r="I9" s="16" t="inlineStr">
        <is>
          <t>P0</t>
        </is>
      </c>
      <c r="J9" s="16" t="inlineStr">
        <is>
          <t>S10 / R03</t>
        </is>
      </c>
      <c r="K9" s="21" t="inlineStr">
        <is>
          <t>Trần Trung Hiếu</t>
        </is>
      </c>
      <c r="L9" s="23" t="inlineStr">
        <is>
          <t>Đạt</t>
        </is>
      </c>
      <c r="M9" s="24" t="inlineStr">
        <is>
          <t>Đạt. Khởi động Spring Boot và kết nối CSDL MySQL thành công; endpoint /actuator/health trả về UP 100%.</t>
        </is>
      </c>
      <c r="N9" s="24" t="n"/>
      <c r="O9" s="25" t="inlineStr">
        <is>
          <t>Nguyễn Tuấn Minh</t>
        </is>
      </c>
      <c r="P9" s="15" t="inlineStr">
        <is>
          <t>Lần 2 với MySQL</t>
        </is>
      </c>
      <c r="Q9" s="26" t="inlineStr">
        <is>
          <t>Ngày 5</t>
        </is>
      </c>
      <c r="R9" s="15" t="inlineStr">
        <is>
          <t>S1/S2 (cao) - Lỗi ở chức năng chính hoặc bảo mật</t>
        </is>
      </c>
      <c r="S9" s="27" t="inlineStr">
        <is>
          <t>Đã kiểm tra</t>
        </is>
      </c>
      <c r="T9" s="15" t="inlineStr">
        <is>
          <t>Hoàn thành kiểm thử tích hợp, sẵn sàng kiểm thử hệ thống.</t>
        </is>
      </c>
    </row>
    <row r="10" ht="93.75" customHeight="1">
      <c r="A10" s="16" t="n">
        <v>2</v>
      </c>
      <c r="B10" s="17" t="inlineStr">
        <is>
          <t>IT-002</t>
        </is>
      </c>
      <c r="C10" s="18" t="inlineStr">
        <is>
          <t>Hạ tầng &amp; CSDL: Tự động thực thi các tệp kịch bản tạo bảng Flyway từ V1 đến V8</t>
        </is>
      </c>
      <c r="D10" s="18" t="inlineStr">
        <is>
          <t>Flyway tự động chạy tuần tự các tệp kịch bản SQL tạo bảng cơ sở dữ liệu mà không phát sinh lỗi</t>
        </is>
      </c>
      <c r="E10" s="18" t="inlineStr">
        <is>
          <t>Cơ sở dữ liệu MySQL trắng; bật cấu hình Flyway trong Spring</t>
        </is>
      </c>
      <c r="F10" s="18" t="inlineStr">
        <is>
          <t>Các tệp migration từ V1__initial_schema.sql đến V8__rag_embeddings.sql</t>
        </is>
      </c>
      <c r="G10" s="18" t="inlineStr">
        <is>
          <t>1. Khởi động web để Flyway tự chạy.
2. Kiểm tra bảng lịch sử flyway_schema_history và các bảng JPA.</t>
        </is>
      </c>
      <c r="H10" s="18" t="inlineStr">
        <is>
          <t>Tất cả các bản cập nhật chạy thành công; các bảng trong MySQL khớp hoàn toàn với các Entity Java.</t>
        </is>
      </c>
      <c r="I10" s="16" t="inlineStr">
        <is>
          <t>P0</t>
        </is>
      </c>
      <c r="J10" s="16" t="inlineStr">
        <is>
          <t>S10 / R03</t>
        </is>
      </c>
      <c r="K10" s="21" t="inlineStr">
        <is>
          <t>Trần Trung Hiếu</t>
        </is>
      </c>
      <c r="L10" s="23" t="inlineStr">
        <is>
          <t>Đạt</t>
        </is>
      </c>
      <c r="M10" s="24" t="inlineStr">
        <is>
          <t>Đạt. Flyway migration chạy tự động không lỗi từ V1 đến V8; cấu trúc bảng khớp hoàn toàn với thực thể.</t>
        </is>
      </c>
      <c r="N10" s="24" t="n"/>
      <c r="O10" s="25" t="inlineStr">
        <is>
          <t>Nguyễn Tuấn Minh</t>
        </is>
      </c>
      <c r="P10" s="15" t="inlineStr">
        <is>
          <t>Lần 2 với MySQL</t>
        </is>
      </c>
      <c r="Q10" s="26" t="inlineStr">
        <is>
          <t>Ngày 5</t>
        </is>
      </c>
      <c r="R10" s="15" t="inlineStr">
        <is>
          <t>S1/S2 (cao) - Lỗi ở chức năng chính hoặc bảo mật</t>
        </is>
      </c>
      <c r="S10" s="27" t="inlineStr">
        <is>
          <t>Đã kiểm tra</t>
        </is>
      </c>
      <c r="T10" s="15" t="inlineStr">
        <is>
          <t>Hoàn thành kiểm thử tích hợp, sẵn sàng kiểm thử hệ thống.</t>
        </is>
      </c>
    </row>
    <row r="11" ht="93.75" customHeight="1">
      <c r="A11" s="16" t="n">
        <v>3</v>
      </c>
      <c r="B11" s="17" t="inlineStr">
        <is>
          <t>IT-003</t>
        </is>
      </c>
      <c r="C11" s="18" t="inlineStr">
        <is>
          <t>Hạ tầng &amp; CSDL: Đảm bảo dữ liệu bảng và tệp tin nguyên vẹn sau khi khởi động lại máy chủ</t>
        </is>
      </c>
      <c r="D11" s="18" t="inlineStr">
        <is>
          <t>Dữ liệu người dùng, bài đăng và các file upload vẫn được lưu giữ an toàn sau khi khởi động lại web</t>
        </is>
      </c>
      <c r="E11" s="18" t="inlineStr">
        <is>
          <t>Ứng dụng đang chạy; thêm 1 tài khoản mới và đăng 1 bài viết kèm file</t>
        </is>
      </c>
      <c r="F11" s="18" t="inlineStr">
        <is>
          <t>Tài liệu mẫu kèm tệp PDF đính kèm</t>
        </is>
      </c>
      <c r="G11" s="18" t="inlineStr">
        <is>
          <t>1. Đăng tải tài liệu thành công.
2. Tắt máy chủ và bật lại.
3. Đăng nhập lại tìm kiếm tài liệu và tải file.</t>
        </is>
      </c>
      <c r="H11" s="18" t="inlineStr">
        <is>
          <t>Bản ghi trong CSDL còn nguyên vẹn; file trên đĩa vẫn mở và đọc bình thường.</t>
        </is>
      </c>
      <c r="I11" s="16" t="inlineStr">
        <is>
          <t>P0</t>
        </is>
      </c>
      <c r="J11" s="16" t="inlineStr">
        <is>
          <t>S10 / R03,R05</t>
        </is>
      </c>
      <c r="K11" s="21" t="inlineStr">
        <is>
          <t>Trần Trung Hiếu</t>
        </is>
      </c>
      <c r="L11" s="23" t="inlineStr">
        <is>
          <t>Đạt</t>
        </is>
      </c>
      <c r="M11" s="24" t="inlineStr">
        <is>
          <t>Đạt. Kiểm thử PersistenceRestartIntegrationTest xác nhận dữ liệu database và tệp tải lên tồn tại bền vững.</t>
        </is>
      </c>
      <c r="N11" s="24" t="n"/>
      <c r="O11" s="25" t="inlineStr">
        <is>
          <t>Nguyễn Tuấn Minh</t>
        </is>
      </c>
      <c r="P11" s="15" t="inlineStr">
        <is>
          <t>Lần 2 với MySQL</t>
        </is>
      </c>
      <c r="Q11" s="26" t="inlineStr">
        <is>
          <t>Ngày 5</t>
        </is>
      </c>
      <c r="R11" s="15" t="inlineStr">
        <is>
          <t>S1/S2 (cao) - Lỗi ở chức năng chính hoặc bảo mật</t>
        </is>
      </c>
      <c r="S11" s="27" t="inlineStr">
        <is>
          <t>Đã kiểm tra</t>
        </is>
      </c>
      <c r="T11" s="15" t="inlineStr">
        <is>
          <t>Hoàn thành kiểm thử tích hợp, sẵn sàng kiểm thử hệ thống.</t>
        </is>
      </c>
    </row>
    <row r="12" ht="93.75" customHeight="1">
      <c r="A12" s="16" t="n">
        <v>4</v>
      </c>
      <c r="B12" s="17" t="inlineStr">
        <is>
          <t>IT-004</t>
        </is>
      </c>
      <c r="C12" s="18" t="inlineStr">
        <is>
          <t>Kiểm toán hệ thống: Tự động ghi vết hoạt động vào bảng nhật ký hệ thống</t>
        </is>
      </c>
      <c r="D12" s="18" t="inlineStr">
        <is>
          <t>Hệ thống tự động lưu vết các hành động nhạy cảm vào bảng audit_logs để quản trị viên theo dõi</t>
        </is>
      </c>
      <c r="E12" s="18" t="inlineStr">
        <is>
          <t>Bảng audit_logs sẵn sàng; AuditLogService tích hợp trong hệ thống</t>
        </is>
      </c>
      <c r="F12" s="18" t="inlineStr">
        <is>
          <t>Thao tác đăng nhập thành công và thao tác tạo tài liệu mới</t>
        </is>
      </c>
      <c r="G12" s="18" t="inlineStr">
        <is>
          <t>1. Đăng nhập tài khoản.
2. Tạo một bản nháp tài liệu.
3. Truy vấn bảng audit_logs xem có ghi nhận không.</t>
        </is>
      </c>
      <c r="H12" s="18" t="inlineStr">
        <is>
          <t>Ghi nhận đủ 2 bản ghi tương ứng với đúng tên người dùng, thời gian và hành động thực hiện.</t>
        </is>
      </c>
      <c r="I12" s="16" t="inlineStr">
        <is>
          <t>P1</t>
        </is>
      </c>
      <c r="J12" s="16" t="inlineStr">
        <is>
          <t>S01,S04 / R01</t>
        </is>
      </c>
      <c r="K12" s="21" t="inlineStr">
        <is>
          <t>Trần Trung Hiếu</t>
        </is>
      </c>
      <c r="L12" s="23" t="inlineStr">
        <is>
          <t>Đạt</t>
        </is>
      </c>
      <c r="M12" s="24" t="inlineStr">
        <is>
          <t>Đạt. Kiểm thử AuditLogIntegrationTest ghi nhận đầy đủ log kiểm toán cho các thao tác đăng nhập và đổi dữ liệu.</t>
        </is>
      </c>
      <c r="N12" s="24" t="n"/>
      <c r="O12" s="25" t="inlineStr">
        <is>
          <t>Nguyễn Tuấn Minh</t>
        </is>
      </c>
      <c r="P12" s="15" t="inlineStr">
        <is>
          <t>Lần 2 với MySQL</t>
        </is>
      </c>
      <c r="Q12" s="26" t="inlineStr">
        <is>
          <t>Ngày 5</t>
        </is>
      </c>
      <c r="R12" s="15" t="inlineStr">
        <is>
          <t>S1/S2 (cao) - Lỗi ở chức năng chính hoặc bảo mật</t>
        </is>
      </c>
      <c r="S12" s="27" t="inlineStr">
        <is>
          <t>Đã kiểm tra</t>
        </is>
      </c>
      <c r="T12" s="15" t="inlineStr">
        <is>
          <t>Hoàn thành kiểm thử tích hợp, sẵn sàng kiểm thử hệ thống.</t>
        </is>
      </c>
    </row>
    <row r="13" ht="93.75" customHeight="1">
      <c r="A13" s="16" t="n">
        <v>5</v>
      </c>
      <c r="B13" s="17" t="inlineStr">
        <is>
          <t>IT-005</t>
        </is>
      </c>
      <c r="C13" s="18" t="inlineStr">
        <is>
          <t>Xác thực tài khoản: Gửi mã OTP xác nhận về hòm thư sinh viên khi đăng ký mới</t>
        </is>
      </c>
      <c r="D13" s="18" t="inlineStr">
        <is>
          <t>Quy trình đăng ký tài khoản tự động gửi mã OTP qua dịch vụ email và kích hoạt khi nhập đúng mã</t>
        </is>
      </c>
      <c r="E13" s="18" t="inlineStr">
        <is>
          <t>Mock dịch vụ gửi thư EmailService; form đăng ký hoạt động bình thường</t>
        </is>
      </c>
      <c r="F13" s="18" t="inlineStr">
        <is>
          <t>Email sinh viên: sinhvien@edurepo.edu.vn, mật khẩu hợp lệ</t>
        </is>
      </c>
      <c r="G13" s="18" t="inlineStr">
        <is>
          <t>1. Gửi thông tin đăng ký.
2. Lấy mã OTP trong email nhận được.
3. Nhập mã OTP vào trang xác thực.</t>
        </is>
      </c>
      <c r="H13" s="18" t="inlineStr">
        <is>
          <t>Kích hoạt tài khoản thành công; chuyển hướng sang trang đăng nhập kèm thông báo chúc mừng.</t>
        </is>
      </c>
      <c r="I13" s="16" t="inlineStr">
        <is>
          <t>P0</t>
        </is>
      </c>
      <c r="J13" s="16" t="inlineStr">
        <is>
          <t>S01 / R01</t>
        </is>
      </c>
      <c r="K13" s="21" t="inlineStr">
        <is>
          <t>Trần Trung Hiếu</t>
        </is>
      </c>
      <c r="L13" s="23" t="inlineStr">
        <is>
          <t>Đạt</t>
        </is>
      </c>
      <c r="M13" s="24" t="inlineStr">
        <is>
          <t>Đạt. Luồng đăng ký gửi mã OTP qua email và xác thực thành công, tài khoản được kích hoạt an toàn.</t>
        </is>
      </c>
      <c r="N13" s="24" t="n"/>
      <c r="O13" s="25" t="inlineStr">
        <is>
          <t>Nguyễn Tuấn Minh</t>
        </is>
      </c>
      <c r="P13" s="15" t="inlineStr">
        <is>
          <t>Lần 2 với MySQL</t>
        </is>
      </c>
      <c r="Q13" s="26" t="inlineStr">
        <is>
          <t>Ngày 5</t>
        </is>
      </c>
      <c r="R13" s="15" t="inlineStr">
        <is>
          <t>S1/S2 (cao) - Lỗi ở chức năng chính hoặc bảo mật</t>
        </is>
      </c>
      <c r="S13" s="27" t="inlineStr">
        <is>
          <t>Đã kiểm tra</t>
        </is>
      </c>
      <c r="T13" s="15" t="inlineStr">
        <is>
          <t>Hoàn thành kiểm thử tích hợp, sẵn sàng kiểm thử hệ thống.</t>
        </is>
      </c>
    </row>
    <row r="14" ht="93.75" customHeight="1">
      <c r="A14" s="16" t="n">
        <v>6</v>
      </c>
      <c r="B14" s="17" t="inlineStr">
        <is>
          <t>IT-006</t>
        </is>
      </c>
      <c r="C14" s="18" t="inlineStr">
        <is>
          <t>Xác thực tài khoản: Gửi mã OTP đặt lại mật khẩu và hủy hiệu lực mã sau khi sử dụng</t>
        </is>
      </c>
      <c r="D14" s="18" t="inlineStr">
        <is>
          <t>Xác nhận mã OTP gửi qua email khi quên mật khẩu, cho phép đặt mật khẩu mới và hủy mã cũ</t>
        </is>
      </c>
      <c r="E14" s="18" t="inlineStr">
        <is>
          <t>Tài khoản đã có sẵn trong cơ sở dữ liệu</t>
        </is>
      </c>
      <c r="F14" s="18" t="inlineStr">
        <is>
          <t>Email đã đăng ký và chuỗi mật khẩu mới</t>
        </is>
      </c>
      <c r="G14" s="18" t="inlineStr">
        <is>
          <t>1. Gửi yêu cầu quên mật khẩu.
2. Nhập mã OTP xác minh.
3. Điền mật khẩu mới và thử đăng nhập.</t>
        </is>
      </c>
      <c r="H14" s="18" t="inlineStr">
        <is>
          <t>Đổi mật khẩu thành công; mã OTP cũ bị hủy hiệu lực, không cho dùng lại lần thứ 2.</t>
        </is>
      </c>
      <c r="I14" s="16" t="inlineStr">
        <is>
          <t>P0</t>
        </is>
      </c>
      <c r="J14" s="16" t="inlineStr">
        <is>
          <t>S01 / R01</t>
        </is>
      </c>
      <c r="K14" s="21" t="inlineStr">
        <is>
          <t>Trần Trung Hiếu</t>
        </is>
      </c>
      <c r="L14" s="23" t="inlineStr">
        <is>
          <t>Đạt</t>
        </is>
      </c>
      <c r="M14" s="24" t="inlineStr">
        <is>
          <t>Đạt. Quy trình quên mật khẩu thực hiện chuẩn xác, bảo mật bằng mã xác thực một lần duy nhất.</t>
        </is>
      </c>
      <c r="N14" s="24" t="n"/>
      <c r="O14" s="25" t="inlineStr">
        <is>
          <t>Nguyễn Tuấn Minh</t>
        </is>
      </c>
      <c r="P14" s="15" t="inlineStr">
        <is>
          <t>Lần 3 với MySQL</t>
        </is>
      </c>
      <c r="Q14" s="26" t="inlineStr">
        <is>
          <t>Ngày 5</t>
        </is>
      </c>
      <c r="R14" s="15" t="inlineStr">
        <is>
          <t>S1/S2 (cao) - Lỗi ở chức năng chính hoặc bảo mật</t>
        </is>
      </c>
      <c r="S14" s="27" t="inlineStr">
        <is>
          <t>Đã kiểm tra</t>
        </is>
      </c>
      <c r="T14" s="15" t="inlineStr">
        <is>
          <t>Hoàn thành kiểm thử tích hợp, sẵn sàng kiểm thử hệ thống.</t>
        </is>
      </c>
    </row>
    <row r="15" ht="93.75" customHeight="1">
      <c r="A15" s="16" t="n">
        <v>7</v>
      </c>
      <c r="B15" s="17" t="inlineStr">
        <is>
          <t>IT-007</t>
        </is>
      </c>
      <c r="C15" s="18" t="inlineStr">
        <is>
          <t>Bảo mật hệ thống: Tự động khóa tài khoản tạm thời sau 5 lần nhập sai mật khẩu</t>
        </is>
      </c>
      <c r="D15" s="18" t="inlineStr">
        <is>
          <t>Spring Security kết hợp bộ đếm tự động khóa tài khoản sau 5 lần gõ sai mật khẩu liên tiếp</t>
        </is>
      </c>
      <c r="E15" s="18" t="inlineStr">
        <is>
          <t>Tài khoản tồn tại; cơ chế khóa hoạt động</t>
        </is>
      </c>
      <c r="F15" s="18" t="inlineStr">
        <is>
          <t>Gửi request đăng nhập sai mật khẩu 5 lần liên tiếp</t>
        </is>
      </c>
      <c r="G15" s="18" t="inlineStr">
        <is>
          <t>1. Gửi form đăng nhập với mật khẩu sai 5 lần.
2. Kiểm tra cờ locked của tài khoản trong CSDL.</t>
        </is>
      </c>
      <c r="H15" s="18" t="inlineStr">
        <is>
          <t>Tài khoản bị khóa; lần đăng nhập thứ 6 bị chặn ngay cả khi gõ đúng mật khẩu.</t>
        </is>
      </c>
      <c r="I15" s="16" t="inlineStr">
        <is>
          <t>P0</t>
        </is>
      </c>
      <c r="J15" s="16" t="inlineStr">
        <is>
          <t>S01 / R01</t>
        </is>
      </c>
      <c r="K15" s="21" t="inlineStr">
        <is>
          <t>Trần Trung Hiếu</t>
        </is>
      </c>
      <c r="L15" s="23" t="inlineStr">
        <is>
          <t>Đạt</t>
        </is>
      </c>
      <c r="M15" s="24" t="inlineStr">
        <is>
          <t>Đạt. Tài khoản tự động khóa sau 5 lần gõ sai, bảo vệ an toàn cho tài khoản người dùng.</t>
        </is>
      </c>
      <c r="N15" s="24" t="n"/>
      <c r="O15" s="25" t="inlineStr">
        <is>
          <t>Nguyễn Tuấn Minh</t>
        </is>
      </c>
      <c r="P15" s="15" t="inlineStr">
        <is>
          <t>Lần 2 với MySQL</t>
        </is>
      </c>
      <c r="Q15" s="26" t="inlineStr">
        <is>
          <t>Ngày 5</t>
        </is>
      </c>
      <c r="R15" s="15" t="inlineStr">
        <is>
          <t>S1/S2 (cao) - Lỗi ở chức năng chính hoặc bảo mật</t>
        </is>
      </c>
      <c r="S15" s="27" t="inlineStr">
        <is>
          <t>Đã kiểm tra</t>
        </is>
      </c>
      <c r="T15" s="15" t="inlineStr">
        <is>
          <t>Hoàn thành kiểm thử tích hợp, sẵn sàng kiểm thử hệ thống.</t>
        </is>
      </c>
    </row>
    <row r="16" ht="93.75" customHeight="1">
      <c r="A16" s="16" t="n">
        <v>8</v>
      </c>
      <c r="B16" s="17" t="inlineStr">
        <is>
          <t>IT-008</t>
        </is>
      </c>
      <c r="C16" s="18" t="inlineStr">
        <is>
          <t>Phân quyền người dùng: Ngăn chặn người dùng thường truy cập trái phép các đường dẫn quản trị</t>
        </is>
      </c>
      <c r="D16" s="18" t="inlineStr">
        <is>
          <t>Bảo vệ các URL quản trị (/admin/**, /reviews/**), người dùng thường truy cập sẽ bị chặn 403</t>
        </is>
      </c>
      <c r="E16" s="18" t="inlineStr">
        <is>
          <t>Cấu hình phân quyền Spring Security cho các đường dẫn</t>
        </is>
      </c>
      <c r="F16" s="18" t="inlineStr">
        <is>
          <t>Tài khoản sinh viên bình thường (ROLE_USER)</t>
        </is>
      </c>
      <c r="G16" s="18" t="inlineStr">
        <is>
          <t>1. Đăng nhập bằng tài khoản sinh viên.
2. Gõ trực tiếp link /admin/dashboard trên trình duyệt.</t>
        </is>
      </c>
      <c r="H16" s="18" t="inlineStr">
        <is>
          <t>Hệ thống chặn truy cập với lỗi 403 hoặc chuyển hướng sang trang báo không có quyền.</t>
        </is>
      </c>
      <c r="I16" s="16" t="inlineStr">
        <is>
          <t>P0</t>
        </is>
      </c>
      <c r="J16" s="16" t="inlineStr">
        <is>
          <t>S01,S02 / R01</t>
        </is>
      </c>
      <c r="K16" s="21" t="inlineStr">
        <is>
          <t>Trần Trung Hiếu</t>
        </is>
      </c>
      <c r="L16" s="23" t="inlineStr">
        <is>
          <t>Đạt</t>
        </is>
      </c>
      <c r="M16" s="24" t="inlineStr">
        <is>
          <t>Đạt. Ma trận phân quyền RBAC chặn đúng vai trò, không để người dùng thường can thiệp vào trang quản trị.</t>
        </is>
      </c>
      <c r="N16" s="24" t="n"/>
      <c r="O16" s="25" t="inlineStr">
        <is>
          <t>Nguyễn Tuấn Minh</t>
        </is>
      </c>
      <c r="P16" s="15" t="inlineStr">
        <is>
          <t>Lần 2 với MySQL</t>
        </is>
      </c>
      <c r="Q16" s="26" t="inlineStr">
        <is>
          <t>Ngày 5</t>
        </is>
      </c>
      <c r="R16" s="15" t="inlineStr">
        <is>
          <t>S1/S2 (cao) - Lỗi ở chức năng chính hoặc bảo mật</t>
        </is>
      </c>
      <c r="S16" s="27" t="inlineStr">
        <is>
          <t>Đã kiểm tra</t>
        </is>
      </c>
      <c r="T16" s="15" t="inlineStr">
        <is>
          <t>Hoàn thành kiểm thử tích hợp, sẵn sàng kiểm thử hệ thống.</t>
        </is>
      </c>
    </row>
    <row r="17" ht="93.75" customHeight="1">
      <c r="A17" s="16" t="n">
        <v>9</v>
      </c>
      <c r="B17" s="17" t="inlineStr">
        <is>
          <t>IT-009</t>
        </is>
      </c>
      <c r="C17" s="18" t="inlineStr">
        <is>
          <t>Quản lý học liệu: Lưu trữ bản nháp tài liệu vào CSDL và sao lưu tệp lên máy chủ</t>
        </is>
      </c>
      <c r="D17" s="18" t="inlineStr">
        <is>
          <t>Tác giả đăng bài viết lưu đầy đủ tiêu đề, mô tả vào CSDL và lưu file đính kèm với mã UUID trên đĩa</t>
        </is>
      </c>
      <c r="E17" s="18" t="inlineStr">
        <is>
          <t>Đăng nhập tài khoản tác giả (SUBMITTER)</t>
        </is>
      </c>
      <c r="F17" s="18" t="inlineStr">
        <is>
          <t>Form tải lên hợp lệ kèm file PDF giáo trình 5MB</t>
        </is>
      </c>
      <c r="G17" s="18" t="inlineStr">
        <is>
          <t>1. Gửi form upload tài liệu.
2. Kiểm tra bản ghi trong bảng documents và file vật lý trong thư mục uploads.</t>
        </is>
      </c>
      <c r="H17" s="18" t="inlineStr">
        <is>
          <t>Tạo bản nháp DRAFT đúng người đăng; file được lưu với tên ngẫu nhiên UUID để tránh trùng tên.</t>
        </is>
      </c>
      <c r="I17" s="16" t="inlineStr">
        <is>
          <t>P0</t>
        </is>
      </c>
      <c r="J17" s="16" t="inlineStr">
        <is>
          <t>S03,S04 / R02</t>
        </is>
      </c>
      <c r="K17" s="21" t="inlineStr">
        <is>
          <t>Trần Trung Hiếu</t>
        </is>
      </c>
      <c r="L17" s="23" t="inlineStr">
        <is>
          <t>Đạt</t>
        </is>
      </c>
      <c r="M17" s="24" t="inlineStr">
        <is>
          <t>Đạt. Tạo bản nháp lưu đầy đủ thông tin vào MySQL và lưu file vật lý với tên mã hóa an toàn.</t>
        </is>
      </c>
      <c r="N17" s="24" t="n"/>
      <c r="O17" s="25" t="inlineStr">
        <is>
          <t>Nguyễn Tuấn Minh</t>
        </is>
      </c>
      <c r="P17" s="15" t="inlineStr">
        <is>
          <t>Lần 2 với MySQL</t>
        </is>
      </c>
      <c r="Q17" s="26" t="inlineStr">
        <is>
          <t>Ngày 5</t>
        </is>
      </c>
      <c r="R17" s="15" t="inlineStr">
        <is>
          <t>S1/S2 (cao) - Lỗi ở chức năng chính hoặc bảo mật</t>
        </is>
      </c>
      <c r="S17" s="27" t="inlineStr">
        <is>
          <t>Đã kiểm tra</t>
        </is>
      </c>
      <c r="T17" s="15" t="inlineStr">
        <is>
          <t>Hoàn thành kiểm thử tích hợp, sẵn sàng kiểm thử hệ thống.</t>
        </is>
      </c>
    </row>
    <row r="18" ht="93.75" customHeight="1">
      <c r="A18" s="16" t="n">
        <v>10</v>
      </c>
      <c r="B18" s="17" t="inlineStr">
        <is>
          <t>IT-010</t>
        </is>
      </c>
      <c r="C18" s="18" t="inlineStr">
        <is>
          <t>Quản lý học liệu: Bắt lỗi khi người dùng gửi tệp rỗng hoặc sai phần mở rộng</t>
        </is>
      </c>
      <c r="D18" s="18" t="inlineStr">
        <is>
          <t>Controller và tầng Service kiểm tra dữ liệu đầu vào, từ chối lưu file rỗng hoặc file không hợp lệ</t>
        </is>
      </c>
      <c r="E18" s="18" t="inlineStr">
        <is>
          <t>Tài khoản Submitter đăng nhập</t>
        </is>
      </c>
      <c r="F18" s="18" t="inlineStr">
        <is>
          <t>File dung lượng 0KB hoặc file có đuôi .bat, .exe</t>
        </is>
      </c>
      <c r="G18" s="18" t="inlineStr">
        <is>
          <t>1. Gửi form tải tài liệu kèm file lỗi.
2. Quan sát thông báo trả về trên giao diện.</t>
        </is>
      </c>
      <c r="H18" s="18" t="inlineStr">
        <is>
          <t>Hiển thị thông báo lỗi cụ thể; không lưu bản ghi rác và không ghi file hỏng vào thư mục máy chủ.</t>
        </is>
      </c>
      <c r="I18" s="16" t="inlineStr">
        <is>
          <t>P0</t>
        </is>
      </c>
      <c r="J18" s="16" t="inlineStr">
        <is>
          <t>S03,S04 / R02</t>
        </is>
      </c>
      <c r="K18" s="21" t="inlineStr">
        <is>
          <t>Trần Trung Hiếu</t>
        </is>
      </c>
      <c r="L18" s="23" t="inlineStr">
        <is>
          <t>Đạt</t>
        </is>
      </c>
      <c r="M18" s="24" t="inlineStr">
        <is>
          <t>Đạt. Hệ thống bắt lỗi chính xác khi chọn file rỗng hoặc sai định dạng, bảo vệ ổ cứng máy chủ.</t>
        </is>
      </c>
      <c r="N18" s="24" t="n"/>
      <c r="O18" s="25" t="inlineStr">
        <is>
          <t>Nguyễn Tuấn Minh</t>
        </is>
      </c>
      <c r="P18" s="15" t="inlineStr">
        <is>
          <t>Lần 2 với MySQL</t>
        </is>
      </c>
      <c r="Q18" s="26" t="inlineStr">
        <is>
          <t>Ngày 5</t>
        </is>
      </c>
      <c r="R18" s="15" t="inlineStr">
        <is>
          <t>S1/S2 (cao) - Lỗi ở chức năng chính hoặc bảo mật</t>
        </is>
      </c>
      <c r="S18" s="27" t="inlineStr">
        <is>
          <t>Đã kiểm tra</t>
        </is>
      </c>
      <c r="T18" s="15" t="inlineStr">
        <is>
          <t>Hoàn thành kiểm thử tích hợp, sẵn sàng kiểm thử hệ thống.</t>
        </is>
      </c>
    </row>
    <row r="19" ht="93.75" customHeight="1">
      <c r="A19" s="16" t="n">
        <v>11</v>
      </c>
      <c r="B19" s="17" t="inlineStr">
        <is>
          <t>IT-011</t>
        </is>
      </c>
      <c r="C19" s="18" t="inlineStr">
        <is>
          <t>Quản lý học liệu: Tự động nâng cấp phiên bản học liệu khi tác giả tải tệp thay thế</t>
        </is>
      </c>
      <c r="D19" s="18" t="inlineStr">
        <is>
          <t>Khi tác giả thay file mới cho tài liệu, hệ thống tự tăng số phiên bản lên v2 và lưu giữ lại bản v1</t>
        </is>
      </c>
      <c r="E19" s="18" t="inlineStr">
        <is>
          <t>Tài liệu đang có phiên bản 1</t>
        </is>
      </c>
      <c r="F19" s="18" t="inlineStr">
        <is>
          <t>Tải lên tệp cập nhật 'giaotrinh_moi.pdf'</t>
        </is>
      </c>
      <c r="G19" s="18" t="inlineStr">
        <is>
          <t>1. Chọn cập nhật file cho tài liệu.
2. Kiểm tra bảng document_versions.</t>
        </is>
      </c>
      <c r="H19" s="18" t="inlineStr">
        <is>
          <t>Số phiên bản tăng lên v2; tài liệu trỏ sang file mới; bản ghi phiên bản cũ v1 vẫn còn trong lịch sử.</t>
        </is>
      </c>
      <c r="I19" s="16" t="inlineStr">
        <is>
          <t>P0</t>
        </is>
      </c>
      <c r="J19" s="16" t="inlineStr">
        <is>
          <t>S03,S04 / R02</t>
        </is>
      </c>
      <c r="K19" s="21" t="inlineStr">
        <is>
          <t>Trần Trung Hiếu</t>
        </is>
      </c>
      <c r="L19" s="23" t="inlineStr">
        <is>
          <t>Đạt</t>
        </is>
      </c>
      <c r="M19" s="24" t="inlineStr">
        <is>
          <t>Đạt. Tự động tạo phiên bản mới v2 khi thay thế tệp và lưu giữ lịch sử phiên bản trước đó đầy đủ.</t>
        </is>
      </c>
      <c r="N19" s="24" t="n"/>
      <c r="O19" s="25" t="inlineStr">
        <is>
          <t>Nguyễn Tuấn Minh</t>
        </is>
      </c>
      <c r="P19" s="15" t="inlineStr">
        <is>
          <t>Lần 2 với MySQL</t>
        </is>
      </c>
      <c r="Q19" s="26" t="inlineStr">
        <is>
          <t>Ngày 5</t>
        </is>
      </c>
      <c r="R19" s="15" t="inlineStr">
        <is>
          <t>S1/S2 (cao) - Lỗi ở chức năng chính hoặc bảo mật</t>
        </is>
      </c>
      <c r="S19" s="27" t="inlineStr">
        <is>
          <t>Đã kiểm tra</t>
        </is>
      </c>
      <c r="T19" s="15" t="inlineStr">
        <is>
          <t>Hoàn thành kiểm thử tích hợp, sẵn sàng kiểm thử hệ thống.</t>
        </is>
      </c>
    </row>
    <row r="20" ht="93.75" customHeight="1">
      <c r="A20" s="16" t="n">
        <v>12</v>
      </c>
      <c r="B20" s="17" t="inlineStr">
        <is>
          <t>IT-012</t>
        </is>
      </c>
      <c r="C20" s="18" t="inlineStr">
        <is>
          <t>Quản lý học liệu: Cho phép tải tự do tài liệu xuất bản và bảo vệ tệp bản nháp</t>
        </is>
      </c>
      <c r="D20" s="18" t="inlineStr">
        <is>
          <t>Kiểm soát quyền tải file: bài viết công khai ai cũng tải được, bài nháp chưa duyệt chỉ tác giả mới tải được</t>
        </is>
      </c>
      <c r="E20" s="18" t="inlineStr">
        <is>
          <t>Tài liệu A (bản nháp của sinh viên 1); Tài liệu B (đã xuất bản chung)</t>
        </is>
      </c>
      <c r="F20" s="18" t="inlineStr">
        <is>
          <t>Khách chưa đăng nhập thử tải file của Tài liệu A</t>
        </is>
      </c>
      <c r="G20" s="18" t="inlineStr">
        <is>
          <t>1. Gửi request tải file Tài liệu A khi chưa đăng nhập.
2. Gửi request tải file Tài liệu B.</t>
        </is>
      </c>
      <c r="H20" s="18" t="inlineStr">
        <is>
          <t>Tải Tài liệu A bị từ chối và yêu cầu đăng nhập; tải Tài liệu B thành công kèm file về máy.</t>
        </is>
      </c>
      <c r="I20" s="16" t="inlineStr">
        <is>
          <t>P0</t>
        </is>
      </c>
      <c r="J20" s="16" t="inlineStr">
        <is>
          <t>S01,S03 / R01</t>
        </is>
      </c>
      <c r="K20" s="21" t="inlineStr">
        <is>
          <t>Trần Trung Hiếu</t>
        </is>
      </c>
      <c r="L20" s="23" t="inlineStr">
        <is>
          <t>Đạt</t>
        </is>
      </c>
      <c r="M20" s="24" t="inlineStr">
        <is>
          <t>Đạt. Quyền tải tài liệu được bảo vệ an toàn, chỉ tác giả mới xem được file của bản nháp cá nhân.</t>
        </is>
      </c>
      <c r="N20" s="24" t="n"/>
      <c r="O20" s="25" t="inlineStr">
        <is>
          <t>Nguyễn Tuấn Minh</t>
        </is>
      </c>
      <c r="P20" s="15" t="inlineStr">
        <is>
          <t>Lần 2 với MySQL</t>
        </is>
      </c>
      <c r="Q20" s="26" t="inlineStr">
        <is>
          <t>Ngày 5</t>
        </is>
      </c>
      <c r="R20" s="15" t="inlineStr">
        <is>
          <t>S1/S2 (cao) - Lỗi ở chức năng chính hoặc bảo mật</t>
        </is>
      </c>
      <c r="S20" s="27" t="inlineStr">
        <is>
          <t>Đã kiểm tra</t>
        </is>
      </c>
      <c r="T20" s="15" t="inlineStr">
        <is>
          <t>Hoàn thành kiểm thử tích hợp, sẵn sàng kiểm thử hệ thống.</t>
        </is>
      </c>
    </row>
    <row r="21" ht="93.75" customHeight="1">
      <c r="A21" s="16" t="n">
        <v>13</v>
      </c>
      <c r="B21" s="17" t="inlineStr">
        <is>
          <t>IT-013</t>
        </is>
      </c>
      <c r="C21" s="18" t="inlineStr">
        <is>
          <t>Kiểm duyệt học liệu: Hiển thị danh sách tài liệu chờ thẩm định cho giảng viên kiểm duyệt</t>
        </is>
      </c>
      <c r="D21" s="18" t="inlineStr">
        <is>
          <t>Trang hàng chờ duyệt chỉ lọc ra đúng các bài viết đang ở trạng thái chờ duyệt (PENDING_REVIEW)</t>
        </is>
      </c>
      <c r="E21" s="18" t="inlineStr">
        <is>
          <t>Hệ thống đang có 2 bài nháp, 3 bài chờ duyệt và 5 bài đã xuất bản</t>
        </is>
      </c>
      <c r="F21" s="18" t="inlineStr">
        <is>
          <t>Tài khoản người duyệt bài (REVIEWER) đăng nhập</t>
        </is>
      </c>
      <c r="G21" s="18" t="inlineStr">
        <is>
          <t>1. Vào mục /reviews/pending.
2. Kiểm tra số lượng và trạng thái các bài hiển thị.</t>
        </is>
      </c>
      <c r="H21" s="18" t="inlineStr">
        <is>
          <t>Chỉ hiển thị đúng 3 bài đang chờ duyệt; không hiển thị nhầm bài nháp hoặc bài đã duyệt rồi.</t>
        </is>
      </c>
      <c r="I21" s="16" t="inlineStr">
        <is>
          <t>P0</t>
        </is>
      </c>
      <c r="J21" s="16" t="inlineStr">
        <is>
          <t>S05 / R02</t>
        </is>
      </c>
      <c r="K21" s="21" t="inlineStr">
        <is>
          <t>Trần Trung Hiếu</t>
        </is>
      </c>
      <c r="L21" s="23" t="inlineStr">
        <is>
          <t>Đạt</t>
        </is>
      </c>
      <c r="M21" s="24" t="inlineStr">
        <is>
          <t>Đạt. Hàng đợi kiểm duyệt lọc chuẩn xác các bài cần thẩm định, phân trang mượt mà cho giảng viên.</t>
        </is>
      </c>
      <c r="N21" s="24" t="n"/>
      <c r="O21" s="25" t="inlineStr">
        <is>
          <t>Nguyễn Tuấn Minh</t>
        </is>
      </c>
      <c r="P21" s="15" t="inlineStr">
        <is>
          <t>Lần 2 với MySQL</t>
        </is>
      </c>
      <c r="Q21" s="26" t="inlineStr">
        <is>
          <t>Ngày 5</t>
        </is>
      </c>
      <c r="R21" s="15" t="inlineStr">
        <is>
          <t>S1/S2 (cao) - Lỗi ở chức năng chính hoặc bảo mật</t>
        </is>
      </c>
      <c r="S21" s="27" t="inlineStr">
        <is>
          <t>Đã kiểm tra</t>
        </is>
      </c>
      <c r="T21" s="15" t="inlineStr">
        <is>
          <t>Hoàn thành kiểm thử tích hợp, sẵn sàng kiểm thử hệ thống.</t>
        </is>
      </c>
    </row>
    <row r="22" ht="93.75" customHeight="1">
      <c r="A22" s="16" t="n">
        <v>14</v>
      </c>
      <c r="B22" s="17" t="inlineStr">
        <is>
          <t>IT-014</t>
        </is>
      </c>
      <c r="C22" s="18" t="inlineStr">
        <is>
          <t>Kiểm duyệt học liệu: Lưu đồng thời trạng thái, nhận xét và điểm số rubric trong cùng giao dịch</t>
        </is>
      </c>
      <c r="D22" s="18" t="inlineStr">
        <is>
          <t>Thao tác duyệt bài đảm bảo tính toàn vẹn: cập nhật trạng thái, lưu bảng điểm và lưu lịch sử cùng lúc</t>
        </is>
      </c>
      <c r="E22" s="18" t="inlineStr">
        <is>
          <t>Reviewer thực hiện thao tác duyệt bài</t>
        </is>
      </c>
      <c r="F22" s="18" t="inlineStr">
        <is>
          <t>Điểm rubric đầy đủ kèm nhận xét phê duyệt</t>
        </is>
      </c>
      <c r="G22" s="18" t="inlineStr">
        <is>
          <t>1. Gửi form duyệt bài.
2. Kiểm tra cơ sở dữ liệu đồng thời ở cả 3 bảng liên quan.</t>
        </is>
      </c>
      <c r="H22" s="18" t="inlineStr">
        <is>
          <t>Tài liệu đổi sang APPROVED; lưu nhận xét vào document_reviews và ghi log vào approval_history.</t>
        </is>
      </c>
      <c r="I22" s="16" t="inlineStr">
        <is>
          <t>P0</t>
        </is>
      </c>
      <c r="J22" s="16" t="inlineStr">
        <is>
          <t>S05 / R02</t>
        </is>
      </c>
      <c r="K22" s="21" t="inlineStr">
        <is>
          <t>Trần Trung Hiếu</t>
        </is>
      </c>
      <c r="L22" s="23" t="inlineStr">
        <is>
          <t>Đạt</t>
        </is>
      </c>
      <c r="M22" s="24" t="inlineStr">
        <is>
          <t>Đạt. Thao tác duyệt bài cập nhật đồng bộ các bảng trong cùng 1 transaction, đảm bảo dữ liệu nhất quán.</t>
        </is>
      </c>
      <c r="N22" s="24" t="n"/>
      <c r="O22" s="25" t="inlineStr">
        <is>
          <t>Nguyễn Tuấn Minh</t>
        </is>
      </c>
      <c r="P22" s="15" t="inlineStr">
        <is>
          <t>Lần 2 với MySQL</t>
        </is>
      </c>
      <c r="Q22" s="26" t="inlineStr">
        <is>
          <t>Ngày 5</t>
        </is>
      </c>
      <c r="R22" s="15" t="inlineStr">
        <is>
          <t>S1/S2 (cao) - Lỗi ở chức năng chính hoặc bảo mật</t>
        </is>
      </c>
      <c r="S22" s="27" t="inlineStr">
        <is>
          <t>Đã kiểm tra</t>
        </is>
      </c>
      <c r="T22" s="15" t="inlineStr">
        <is>
          <t>Hoàn thành kiểm thử tích hợp, sẵn sàng kiểm thử hệ thống.</t>
        </is>
      </c>
    </row>
    <row r="23" ht="93.75" customHeight="1">
      <c r="A23" s="16" t="n">
        <v>15</v>
      </c>
      <c r="B23" s="17" t="inlineStr">
        <is>
          <t>IT-015</t>
        </is>
      </c>
      <c r="C23" s="18" t="inlineStr">
        <is>
          <t>Xuất bản học liệu: Đưa tài liệu đã phê duyệt hiển thị công khai trên kho học liệu</t>
        </is>
      </c>
      <c r="D23" s="18" t="inlineStr">
        <is>
          <t>Tài liệu sau khi được phê duyệt và bấm xuất bản (PUBLISHED) mới được hiển thị công khai</t>
        </is>
      </c>
      <c r="E23" s="18" t="inlineStr">
        <is>
          <t>Tài liệu vừa được duyệt ở trạng thái APPROVED</t>
        </is>
      </c>
      <c r="F23" s="18" t="inlineStr">
        <is>
          <t>Thực hiện thao tác công bố xuất bản</t>
        </is>
      </c>
      <c r="G23" s="18" t="inlineStr">
        <is>
          <t>1. Tìm thử tài liệu trước khi xuất bản.
2. Thực hiện bấm công bố tài liệu.
3. Tìm kiếm lại trên trang /repository.</t>
        </is>
      </c>
      <c r="H23" s="18" t="inlineStr">
        <is>
          <t>Trước khi công bố không tìm thấy; sau khi công bố tài liệu xuất hiện ngay trong kết quả tìm kiếm.</t>
        </is>
      </c>
      <c r="I23" s="16" t="inlineStr">
        <is>
          <t>P0</t>
        </is>
      </c>
      <c r="J23" s="16" t="inlineStr">
        <is>
          <t>S04,S07 / R02</t>
        </is>
      </c>
      <c r="K23" s="21" t="inlineStr">
        <is>
          <t>Trần Trung Hiếu</t>
        </is>
      </c>
      <c r="L23" s="23" t="inlineStr">
        <is>
          <t>Đạt</t>
        </is>
      </c>
      <c r="M23" s="24" t="inlineStr">
        <is>
          <t>Đạt. Tài liệu chuyển sang PUBLISHED xuất hiện chuẩn xác trên kho học liệu công khai của trường.</t>
        </is>
      </c>
      <c r="N23" s="24" t="n"/>
      <c r="O23" s="25" t="inlineStr">
        <is>
          <t>Nguyễn Tuấn Minh</t>
        </is>
      </c>
      <c r="P23" s="15" t="inlineStr">
        <is>
          <t>Lần 2 với MySQL</t>
        </is>
      </c>
      <c r="Q23" s="26" t="inlineStr">
        <is>
          <t>Ngày 5</t>
        </is>
      </c>
      <c r="R23" s="15" t="inlineStr">
        <is>
          <t>S1/S2 (cao) - Lỗi ở chức năng chính hoặc bảo mật</t>
        </is>
      </c>
      <c r="S23" s="27" t="inlineStr">
        <is>
          <t>Đã kiểm tra</t>
        </is>
      </c>
      <c r="T23" s="15" t="inlineStr">
        <is>
          <t>Hoàn thành kiểm thử tích hợp, sẵn sàng kiểm thử hệ thống.</t>
        </is>
      </c>
    </row>
    <row r="24" ht="93.75" customHeight="1">
      <c r="A24" s="16" t="n">
        <v>16</v>
      </c>
      <c r="B24" s="17" t="inlineStr">
        <is>
          <t>IT-016</t>
        </is>
      </c>
      <c r="C24" s="18" t="inlineStr">
        <is>
          <t>Thông báo hệ thống: Đẩy thông báo chuông theo thời gian thực tới tác giả khi bài được duyệt</t>
        </is>
      </c>
      <c r="D24" s="18" t="inlineStr">
        <is>
          <t>Khi bài viết được duyệt, hệ thống vừa lưu thông báo vào database vừa bắn tín hiệu realtime qua SSE</t>
        </is>
      </c>
      <c r="E24" s="18" t="inlineStr">
        <is>
          <t>Tác giả đang mở trình duyệt; Reviewer bấm duyệt bài trên máy khác</t>
        </is>
      </c>
      <c r="F24" s="18" t="inlineStr">
        <is>
          <t>Sự kiện phê duyệt tài liệu của Submitter</t>
        </is>
      </c>
      <c r="G24" s="18" t="inlineStr">
        <is>
          <t>1. Trình duyệt tác giả kết nối luồng /api/realtime/notifications.
2. Reviewer duyệt bài.
3. Quan sát thông báo trên màn hình tác giả.</t>
        </is>
      </c>
      <c r="H24" s="18" t="inlineStr">
        <is>
          <t>Chuông thông báo tự động nhảy số đỏ ngay lập tức mà không cần tác giả bấm F5 tải lại trang.</t>
        </is>
      </c>
      <c r="I24" s="16" t="inlineStr">
        <is>
          <t>P1</t>
        </is>
      </c>
      <c r="J24" s="16" t="inlineStr">
        <is>
          <t>S05,S10 / R02</t>
        </is>
      </c>
      <c r="K24" s="21" t="inlineStr">
        <is>
          <t>Trần Trung Hiếu</t>
        </is>
      </c>
      <c r="L24" s="23" t="inlineStr">
        <is>
          <t>Đạt</t>
        </is>
      </c>
      <c r="M24" s="24" t="inlineStr">
        <is>
          <t>Đạt. Kết nối Server-Sent Events đẩy thông báo tức thì đến người dùng đang online rất mượt mà.</t>
        </is>
      </c>
      <c r="N24" s="24" t="n"/>
      <c r="O24" s="25" t="inlineStr">
        <is>
          <t>Nguyễn Tuấn Minh</t>
        </is>
      </c>
      <c r="P24" s="15" t="inlineStr">
        <is>
          <t>Lần 2 với MySQL</t>
        </is>
      </c>
      <c r="Q24" s="26" t="inlineStr">
        <is>
          <t>Ngày 5</t>
        </is>
      </c>
      <c r="R24" s="15" t="inlineStr">
        <is>
          <t>S2/S3 (vừa) - Ảnh hưởng chức năng phụ</t>
        </is>
      </c>
      <c r="S24" s="27" t="inlineStr">
        <is>
          <t>Đã kiểm tra</t>
        </is>
      </c>
      <c r="T24" s="15" t="inlineStr">
        <is>
          <t>Hoàn thành kiểm thử tích hợp, sẵn sàng kiểm thử hệ thống.</t>
        </is>
      </c>
    </row>
    <row r="25" ht="93.75" customHeight="1">
      <c r="A25" s="16" t="n">
        <v>17</v>
      </c>
      <c r="B25" s="17" t="inlineStr">
        <is>
          <t>IT-017</t>
        </is>
      </c>
      <c r="C25" s="18" t="inlineStr">
        <is>
          <t>Tìm kiếm học liệu: Tra cứu học liệu kết hợp từ khóa, phân loại danh mục và khoa viện</t>
        </is>
      </c>
      <c r="D25" s="18" t="inlineStr">
        <is>
          <t>Truy vấn CSDL tìm kiếm chính xác khi sinh viên kết hợp nhiều bộ lọc cùng lúc</t>
        </is>
      </c>
      <c r="E25" s="18" t="inlineStr">
        <is>
          <t>Cơ sở dữ liệu có nhiều tài liệu thuộc các khoa và cấp học khác nhau</t>
        </is>
      </c>
      <c r="F25" s="18" t="inlineStr">
        <is>
          <t>Từ khóa: 'Toán', danh mục: 'Khoa học cơ bản', cấp độ: 'Đại học'</t>
        </is>
      </c>
      <c r="G25" s="18" t="inlineStr">
        <is>
          <t>1. Gửi request tìm kiếm kèm cả 3 bộ lọc.
2. Kiểm tra danh sách tài liệu trả về.</t>
        </is>
      </c>
      <c r="H25" s="18" t="inlineStr">
        <is>
          <t>Tất cả các tài liệu hiển thị đều thỏa mãn đúng cả 3 điều kiện; tổng số trang phân trang chính xác.</t>
        </is>
      </c>
      <c r="I25" s="16" t="inlineStr">
        <is>
          <t>P1</t>
        </is>
      </c>
      <c r="J25" s="16" t="inlineStr">
        <is>
          <t>S07 / R01</t>
        </is>
      </c>
      <c r="K25" s="21" t="inlineStr">
        <is>
          <t>Trần Trung Hiếu</t>
        </is>
      </c>
      <c r="L25" s="23" t="inlineStr">
        <is>
          <t>Đạt</t>
        </is>
      </c>
      <c r="M25" s="24" t="inlineStr">
        <is>
          <t>Đạt. Tìm kiếm kết hợp nhiều tiêu chí hoạt động chính xác, câu lệnh SQL lọc dữ liệu tối ưu.</t>
        </is>
      </c>
      <c r="N25" s="24" t="n"/>
      <c r="O25" s="25" t="inlineStr">
        <is>
          <t>Nguyễn Tuấn Minh</t>
        </is>
      </c>
      <c r="P25" s="15" t="inlineStr">
        <is>
          <t>Lần 2 với MySQL</t>
        </is>
      </c>
      <c r="Q25" s="26" t="inlineStr">
        <is>
          <t>Ngày 5</t>
        </is>
      </c>
      <c r="R25" s="15" t="inlineStr">
        <is>
          <t>S2/S3 (vừa) - Ảnh hưởng chức năng phụ</t>
        </is>
      </c>
      <c r="S25" s="27" t="inlineStr">
        <is>
          <t>Đã kiểm tra</t>
        </is>
      </c>
      <c r="T25" s="15" t="inlineStr">
        <is>
          <t>Hoàn thành kiểm thử tích hợp, sẵn sàng kiểm thử hệ thống.</t>
        </is>
      </c>
    </row>
    <row r="26" ht="93.75" customHeight="1">
      <c r="A26" s="16" t="n">
        <v>18</v>
      </c>
      <c r="B26" s="17" t="inlineStr">
        <is>
          <t>IT-018</t>
        </is>
      </c>
      <c r="C26" s="18" t="inlineStr">
        <is>
          <t>Thư viện cá nhân: Cô lập danh sách học liệu yêu thích giữa các tài khoản người dùng</t>
        </is>
      </c>
      <c r="D26" s="18" t="inlineStr">
        <is>
          <t>Đảm bảo tính bảo mật cá nhân: sinh viên đăng nhập chỉ xem được danh sách bài đã lưu của chính mình</t>
        </is>
      </c>
      <c r="E26" s="18" t="inlineStr">
        <is>
          <t>Sinh viên A có 3 bài lưu; Sinh viên B có 2 bài lưu</t>
        </is>
      </c>
      <c r="F26" s="18" t="inlineStr">
        <is>
          <t>Đăng nhập tài khoản Sinh viên A</t>
        </is>
      </c>
      <c r="G26" s="18" t="inlineStr">
        <is>
          <t>1. Vào mục /library của Sinh viên A.
2. Kiểm tra danh sách bài hiển thị.</t>
        </is>
      </c>
      <c r="H26" s="18" t="inlineStr">
        <is>
          <t>Chỉ thấy đúng 3 bài của Sinh viên A; tuyệt đối không hiển thị bài của Sinh viên B.</t>
        </is>
      </c>
      <c r="I26" s="16" t="inlineStr">
        <is>
          <t>P0</t>
        </is>
      </c>
      <c r="J26" s="16" t="inlineStr">
        <is>
          <t>S08 / R01</t>
        </is>
      </c>
      <c r="K26" s="21" t="inlineStr">
        <is>
          <t>Trần Trung Hiếu</t>
        </is>
      </c>
      <c r="L26" s="23" t="inlineStr">
        <is>
          <t>Đạt</t>
        </is>
      </c>
      <c r="M26" s="24" t="inlineStr">
        <is>
          <t>Đạt. Cơ chế lọc dữ liệu theo userId hoạt động chuẩn xác, đảm bảo quyền riêng tư cho sinh viên.</t>
        </is>
      </c>
      <c r="N26" s="24" t="n"/>
      <c r="O26" s="25" t="inlineStr">
        <is>
          <t>Nguyễn Tuấn Minh</t>
        </is>
      </c>
      <c r="P26" s="15" t="inlineStr">
        <is>
          <t>Lần 2 với MySQL</t>
        </is>
      </c>
      <c r="Q26" s="26" t="inlineStr">
        <is>
          <t>Ngày 5</t>
        </is>
      </c>
      <c r="R26" s="15" t="inlineStr">
        <is>
          <t>S1/S2 (cao) - Lỗi ở chức năng chính hoặc bảo mật</t>
        </is>
      </c>
      <c r="S26" s="27" t="inlineStr">
        <is>
          <t>Đã kiểm tra</t>
        </is>
      </c>
      <c r="T26" s="15" t="inlineStr">
        <is>
          <t>Hoàn thành kiểm thử tích hợp, sẵn sàng kiểm thử hệ thống.</t>
        </is>
      </c>
    </row>
    <row r="27" ht="93.75" customHeight="1">
      <c r="A27" s="16" t="n">
        <v>19</v>
      </c>
      <c r="B27" s="17" t="inlineStr">
        <is>
          <t>IT-019</t>
        </is>
      </c>
      <c r="C27" s="18" t="inlineStr">
        <is>
          <t>Quản trị hệ thống: Truy vấn danh sách bộ môn trực thuộc tương ứng theo từng khoa</t>
        </is>
      </c>
      <c r="D27" s="18" t="inlineStr">
        <is>
          <t>API trả về đúng danh sách các bộ môn trực thuộc khoa khi chọn khoa trên form đăng tài liệu</t>
        </is>
      </c>
      <c r="E27" s="18" t="inlineStr">
        <is>
          <t>Khoa CNTT có 3 bộ môn con; Khoa Ngoại ngữ có 2 bộ môn con</t>
        </is>
      </c>
      <c r="F27" s="18" t="inlineStr">
        <is>
          <t>Gọi API lấy bộ môn theo mã khoa: /admin/departments/by-faculty</t>
        </is>
      </c>
      <c r="G27" s="18" t="inlineStr">
        <is>
          <t>1. Gửi request lấy bộ môn của Khoa CNTT.
2. Kiểm tra danh sách JSON trả về.</t>
        </is>
      </c>
      <c r="H27" s="18" t="inlineStr">
        <is>
          <t>Trả về đúng 3 bộ môn của Khoa CNTT; dropdown trên giao diện cập nhật ngay lập tức.</t>
        </is>
      </c>
      <c r="I27" s="16" t="inlineStr">
        <is>
          <t>P1</t>
        </is>
      </c>
      <c r="J27" s="16" t="inlineStr">
        <is>
          <t>S09 / R01</t>
        </is>
      </c>
      <c r="K27" s="21" t="inlineStr">
        <is>
          <t>Trần Trung Hiếu</t>
        </is>
      </c>
      <c r="L27" s="23" t="inlineStr">
        <is>
          <t>Đạt</t>
        </is>
      </c>
      <c r="M27" s="24" t="inlineStr">
        <is>
          <t>Đạt. API trả về dữ liệu quan hệ Khoa - Bộ môn chuẩn xác, hỗ trợ nạp động trên form giao diện.</t>
        </is>
      </c>
      <c r="N27" s="24" t="n"/>
      <c r="O27" s="25" t="inlineStr">
        <is>
          <t>Nguyễn Tuấn Minh</t>
        </is>
      </c>
      <c r="P27" s="15" t="inlineStr">
        <is>
          <t>Lần 2 với MySQL</t>
        </is>
      </c>
      <c r="Q27" s="26" t="inlineStr">
        <is>
          <t>Ngày 5</t>
        </is>
      </c>
      <c r="R27" s="15" t="inlineStr">
        <is>
          <t>S2/S3 (vừa) - Ảnh hưởng chức năng phụ</t>
        </is>
      </c>
      <c r="S27" s="27" t="inlineStr">
        <is>
          <t>Đã kiểm tra</t>
        </is>
      </c>
      <c r="T27" s="15" t="inlineStr">
        <is>
          <t>Hoàn thành kiểm thử tích hợp, sẵn sàng kiểm thử hệ thống.</t>
        </is>
      </c>
    </row>
    <row r="28" ht="90.59999999999999" customHeight="1">
      <c r="A28" s="16" t="n">
        <v>20</v>
      </c>
      <c r="B28" s="17" t="inlineStr">
        <is>
          <t>IT-020</t>
        </is>
      </c>
      <c r="C28" s="18" t="inlineStr">
        <is>
          <t>Giao diện người dùng: Điều hướng các mã lỗi HTTP 403, 404, 500 sang giao diện tiếng Việt</t>
        </is>
      </c>
      <c r="D28" s="18" t="inlineStr">
        <is>
          <t>Tất cả các lỗi web phổ biến được chuyển về trang giao diện thân thiện, không bao giờ lộ trang lỗi trắng</t>
        </is>
      </c>
      <c r="E28" s="18" t="inlineStr">
        <is>
          <t>Cấu hình thư mục chứa các trang lỗi templates/error/</t>
        </is>
      </c>
      <c r="F28" s="18" t="inlineStr">
        <is>
          <t>Cố tình truy cập trang không có thật (404) hoặc trang bị cấm (403)</t>
        </is>
      </c>
      <c r="G28" s="18" t="inlineStr">
        <is>
          <t>1. Gõ một đường dẫn ngẫu nhiên không có trên web.
2. Quan sát trang hiển thị trên màn hình.</t>
        </is>
      </c>
      <c r="H28" s="18" t="inlineStr">
        <is>
          <t>Giao diện báo lỗi 404 đẹp mắt có nút quay lại trang chủ; không để lộ mã lỗi máy chủ.</t>
        </is>
      </c>
      <c r="I28" s="16" t="inlineStr">
        <is>
          <t>P1</t>
        </is>
      </c>
      <c r="J28" s="16" t="inlineStr">
        <is>
          <t>S10 / R01</t>
        </is>
      </c>
      <c r="K28" s="21" t="inlineStr">
        <is>
          <t>Trần Trung Hiếu</t>
        </is>
      </c>
      <c r="L28" s="23" t="inlineStr">
        <is>
          <t>Đạt</t>
        </is>
      </c>
      <c r="M28" s="24" t="inlineStr">
        <is>
          <t>Đạt. Các mã lỗi HTTP được điều hướng sang giao diện tiếng Việt thân thiện, chuyên nghiệp.</t>
        </is>
      </c>
      <c r="N28" s="24" t="n"/>
      <c r="O28" s="25" t="inlineStr">
        <is>
          <t>Nguyễn Tuấn Minh</t>
        </is>
      </c>
      <c r="P28" s="15" t="inlineStr">
        <is>
          <t>Lần 2 với MySQL</t>
        </is>
      </c>
      <c r="Q28" s="26" t="inlineStr">
        <is>
          <t>Ngày 5</t>
        </is>
      </c>
      <c r="R28" s="15" t="inlineStr">
        <is>
          <t>S2/S3 (vừa) - Ảnh hưởng chức năng phụ</t>
        </is>
      </c>
      <c r="S28" s="27" t="inlineStr">
        <is>
          <t>Đã kiểm tra</t>
        </is>
      </c>
      <c r="T28" s="15" t="inlineStr">
        <is>
          <t>Hoàn thành kiểm thử tích hợp, sẵn sàng kiểm thử hệ thống.</t>
        </is>
      </c>
    </row>
    <row r="29" ht="96.59999999999999" customHeight="1">
      <c r="A29" s="16" t="n">
        <v>21</v>
      </c>
      <c r="B29" s="17" t="inlineStr">
        <is>
          <t>IT-021</t>
        </is>
      </c>
      <c r="C29" s="18" t="inlineStr">
        <is>
          <t>Hồ sơ người dùng: Tải lên ảnh đại diện cá nhân và lưu thông tin vào tài khoản</t>
        </is>
      </c>
      <c r="D29" s="18" t="inlineStr">
        <is>
          <t>Người dùng đổi ảnh đại diện cá nhân, file ảnh được lưu vào thư mục avatars và cập nhật trong CSDL</t>
        </is>
      </c>
      <c r="E29" s="18" t="inlineStr">
        <is>
          <t>Người dùng đăng nhập; thư mục chứa ảnh uploads/avatars/ sẵn sàng</t>
        </is>
      </c>
      <c r="F29" s="18" t="inlineStr">
        <is>
          <t>File ảnh định dạng PNG dung lượng 2MB</t>
        </is>
      </c>
      <c r="G29" s="18" t="inlineStr">
        <is>
          <t>1. Gửi form cập nhật avatar.
2. Kiểm tra đường dẫn ảnh trong bảng users và file trong thư mục.</t>
        </is>
      </c>
      <c r="H29" s="18" t="inlineStr">
        <is>
          <t>Lưu file ảnh thành công; tài khoản hiển thị ngay ảnh đại diện mới trên thanh menu.</t>
        </is>
      </c>
      <c r="I29" s="16" t="inlineStr">
        <is>
          <t>P1</t>
        </is>
      </c>
      <c r="J29" s="16" t="inlineStr">
        <is>
          <t>S01,S03 / R01</t>
        </is>
      </c>
      <c r="K29" s="21" t="inlineStr">
        <is>
          <t>Trần Trung Hiếu</t>
        </is>
      </c>
      <c r="L29" s="23" t="inlineStr">
        <is>
          <t>Đạt</t>
        </is>
      </c>
      <c r="M29" s="24" t="inlineStr">
        <is>
          <t>Đạt. Tải lên và hiển thị ảnh đại diện cá nhân thành công, dọn dẹp sạch ảnh cũ khi đổi ảnh mới.</t>
        </is>
      </c>
      <c r="N29" s="24" t="n"/>
      <c r="O29" s="25" t="inlineStr">
        <is>
          <t>Nguyễn Tuấn Minh</t>
        </is>
      </c>
      <c r="P29" s="15" t="inlineStr">
        <is>
          <t>Lần 2 với MySQL</t>
        </is>
      </c>
      <c r="Q29" s="26" t="inlineStr">
        <is>
          <t>Ngày 5</t>
        </is>
      </c>
      <c r="R29" s="15" t="inlineStr">
        <is>
          <t>S2/S3 (vừa) - Ảnh hưởng chức năng phụ</t>
        </is>
      </c>
      <c r="S29" s="27" t="inlineStr">
        <is>
          <t>Đã kiểm tra</t>
        </is>
      </c>
      <c r="T29" s="15" t="inlineStr">
        <is>
          <t>Hoàn thành kiểm thử tích hợp, sẵn sàng kiểm thử hệ thống.</t>
        </is>
      </c>
    </row>
    <row r="30" ht="96.59999999999999" customHeight="1">
      <c r="A30" s="16" t="n">
        <v>22</v>
      </c>
      <c r="B30" s="17" t="inlineStr">
        <is>
          <t>IT-022</t>
        </is>
      </c>
      <c r="C30" s="18" t="inlineStr">
        <is>
          <t>Quản lý học liệu: Tiếp nhận và lưu trữ báo cáo vi phạm nội dung từ người học</t>
        </is>
      </c>
      <c r="D30" s="18" t="inlineStr">
        <is>
          <t>Người học gửi báo cáo nội dung sai sót hoặc bản quyền; hệ thống lưu vào bảng quản lý báo cáo</t>
        </is>
      </c>
      <c r="E30" s="18" t="inlineStr">
        <is>
          <t>Tài liệu đang được công bố; người dùng đã đăng nhập</t>
        </is>
      </c>
      <c r="F30" s="18" t="inlineStr">
        <is>
          <t>Lý do: 'Tài liệu bị lỗi font không đọc được trang 5'</t>
        </is>
      </c>
      <c r="G30" s="18" t="inlineStr">
        <is>
          <t>1. Bấm nút Báo cáo vi phạm tại trang xem tài liệu.
2. Điền lý do và bấm gửi.</t>
        </is>
      </c>
      <c r="H30" s="18" t="inlineStr">
        <is>
          <t>Lưu bản ghi vào bảng document_reports; hiển thị thông báo đã tiếp nhận báo cáo của sinh viên.</t>
        </is>
      </c>
      <c r="I30" s="16" t="inlineStr">
        <is>
          <t>P1</t>
        </is>
      </c>
      <c r="J30" s="16" t="inlineStr">
        <is>
          <t>S04,S09 / R01</t>
        </is>
      </c>
      <c r="K30" s="21" t="inlineStr">
        <is>
          <t>Trần Trung Hiếu</t>
        </is>
      </c>
      <c r="L30" s="23" t="inlineStr">
        <is>
          <t>Đạt</t>
        </is>
      </c>
      <c r="M30" s="24" t="inlineStr">
        <is>
          <t>Đạt. Hệ thống ghi nhận phản hồi báo cáo tài liệu chính xác, gửi thông tin tới ban quản trị.</t>
        </is>
      </c>
      <c r="N30" s="24" t="n"/>
      <c r="O30" s="25" t="inlineStr">
        <is>
          <t>Nguyễn Tuấn Minh</t>
        </is>
      </c>
      <c r="P30" s="15" t="inlineStr">
        <is>
          <t>Lần 2 với MySQL</t>
        </is>
      </c>
      <c r="Q30" s="26" t="inlineStr">
        <is>
          <t>Ngày 5</t>
        </is>
      </c>
      <c r="R30" s="15" t="inlineStr">
        <is>
          <t>S2/S3 (vừa) - Ảnh hưởng chức năng phụ</t>
        </is>
      </c>
      <c r="S30" s="27" t="inlineStr">
        <is>
          <t>Đã kiểm tra</t>
        </is>
      </c>
      <c r="T30" s="15" t="inlineStr">
        <is>
          <t>Hoàn thành kiểm thử tích hợp, sẵn sàng kiểm thử hệ thống.</t>
        </is>
      </c>
    </row>
    <row r="31" ht="96.59999999999999" customHeight="1">
      <c r="A31" s="16" t="n">
        <v>23</v>
      </c>
      <c r="B31" s="17" t="inlineStr">
        <is>
          <t>IT-023</t>
        </is>
      </c>
      <c r="C31" s="18" t="inlineStr">
        <is>
          <t>Bảo mật hệ thống: Giới hạn quyền truy cập các cổng giám sát Actuator chỉ cho quản trị viên</t>
        </is>
      </c>
      <c r="D31" s="18" t="inlineStr">
        <is>
          <t>Bảo vệ thông tin cấu hình máy chủ: các đường dẫn /actuator/metrics chỉ Admin mới được truy cập</t>
        </is>
      </c>
      <c r="E31" s="18" t="inlineStr">
        <is>
          <t>Bật tính năng giám sát Actuator</t>
        </is>
      </c>
      <c r="F31" s="18" t="inlineStr">
        <is>
          <t>Thử truy cập link /actuator/metrics</t>
        </is>
      </c>
      <c r="G31" s="18" t="inlineStr">
        <is>
          <t>1. Truy cập link khi chưa đăng nhập.
2. Đăng nhập với quyền Admin rồi truy cập lại.</t>
        </is>
      </c>
      <c r="H31" s="18" t="inlineStr">
        <is>
          <t>Người ngoài bị chặn 403; Admin truy cập thành công và xem được các biểu đồ giám sát.</t>
        </is>
      </c>
      <c r="I31" s="16" t="inlineStr">
        <is>
          <t>P0</t>
        </is>
      </c>
      <c r="J31" s="16" t="inlineStr">
        <is>
          <t>S10 / R03</t>
        </is>
      </c>
      <c r="K31" s="21" t="inlineStr">
        <is>
          <t>Trần Trung Hiếu</t>
        </is>
      </c>
      <c r="L31" s="23" t="inlineStr">
        <is>
          <t>Đạt</t>
        </is>
      </c>
      <c r="M31" s="24" t="inlineStr">
        <is>
          <t>Đạt. Bảo vệ an toàn các đường dẫn nhạy cảm của máy chủ Spring Boot, chống lộ thông tin cấu hình.</t>
        </is>
      </c>
      <c r="N31" s="24" t="n"/>
      <c r="O31" s="25" t="inlineStr">
        <is>
          <t>Nguyễn Tuấn Minh</t>
        </is>
      </c>
      <c r="P31" s="15" t="inlineStr">
        <is>
          <t>Lần 2 với MySQL</t>
        </is>
      </c>
      <c r="Q31" s="26" t="inlineStr">
        <is>
          <t>Ngày 5</t>
        </is>
      </c>
      <c r="R31" s="15" t="inlineStr">
        <is>
          <t>S1/S2 (cao) - Lỗi ở chức năng chính hoặc bảo mật</t>
        </is>
      </c>
      <c r="S31" s="27" t="inlineStr">
        <is>
          <t>Đã kiểm tra</t>
        </is>
      </c>
      <c r="T31" s="15" t="inlineStr">
        <is>
          <t>Hoàn thành kiểm thử tích hợp, sẵn sàng kiểm thử hệ thống.</t>
        </is>
      </c>
    </row>
    <row r="32" ht="96.59999999999999" customHeight="1">
      <c r="A32" s="16" t="n">
        <v>24</v>
      </c>
      <c r="B32" s="17" t="inlineStr">
        <is>
          <t>IT-024</t>
        </is>
      </c>
      <c r="C32" s="18" t="inlineStr">
        <is>
          <t>Hạ tầng &amp; Hệ thống: Nạp các tham số cấu hình từ tệp môi trường vào ứng dụng an toàn</t>
        </is>
      </c>
      <c r="D32" s="18" t="inlineStr">
        <is>
          <t>Đảm bảo ứng dụng nạp đúng các thông tin bí mật từ file .env như mật khẩu database, khóa API</t>
        </is>
      </c>
      <c r="E32" s="18" t="inlineStr">
        <is>
          <t>Tệp cấu hình .env có các biến cấu hình</t>
        </is>
      </c>
      <c r="F32" s="18" t="inlineStr">
        <is>
          <t>Các biến DB_URL, DB_USER, OPENAI_API_KEY</t>
        </is>
      </c>
      <c r="G32" s="18" t="inlineStr">
        <is>
          <t>1. Khởi động ứng dụng trong môi trường kiểm thử.
2. Kiểm tra các giá trị được nạp vào Spring bean.</t>
        </is>
      </c>
      <c r="H32" s="18" t="inlineStr">
        <is>
          <t>Tất cả các tham số được đọc đầy đủ; không bị lỗi thiếu khóa hay nạp sai cấu hình.</t>
        </is>
      </c>
      <c r="I32" s="16" t="inlineStr">
        <is>
          <t>P1</t>
        </is>
      </c>
      <c r="J32" s="16" t="inlineStr">
        <is>
          <t>S10 / R03</t>
        </is>
      </c>
      <c r="K32" s="21" t="inlineStr">
        <is>
          <t>Trần Trung Hiếu</t>
        </is>
      </c>
      <c r="L32" s="23" t="inlineStr">
        <is>
          <t>Đạt</t>
        </is>
      </c>
      <c r="M32" s="24" t="inlineStr">
        <is>
          <t>Đạt. Các biến môi trường trong file .env được nạp trơn tru, bảo mật các thông tin nhạy cảm của đồ án.</t>
        </is>
      </c>
      <c r="N32" s="24" t="n"/>
      <c r="O32" s="25" t="inlineStr">
        <is>
          <t>Nguyễn Tuấn Minh</t>
        </is>
      </c>
      <c r="P32" s="15" t="inlineStr">
        <is>
          <t>Lần 2 với MySQL</t>
        </is>
      </c>
      <c r="Q32" s="26" t="inlineStr">
        <is>
          <t>Ngày 5</t>
        </is>
      </c>
      <c r="R32" s="15" t="inlineStr">
        <is>
          <t>S2/S3 (vừa) - Ảnh hưởng chức năng phụ</t>
        </is>
      </c>
      <c r="S32" s="27" t="inlineStr">
        <is>
          <t>Đã kiểm tra</t>
        </is>
      </c>
      <c r="T32" s="15" t="inlineStr">
        <is>
          <t>Hoàn thành kiểm thử tích hợp, sẵn sàng kiểm thử hệ thống.</t>
        </is>
      </c>
    </row>
    <row r="33" ht="96.59999999999999" customHeight="1">
      <c r="A33" s="16" t="n">
        <v>25</v>
      </c>
      <c r="B33" s="17" t="inlineStr">
        <is>
          <t>IT-025</t>
        </is>
      </c>
      <c r="C33" s="18" t="inlineStr">
        <is>
          <t>Trợ lý AI Chatbot: Xử lý trọn gói tệp PDF từ bóc tách văn bản đến lưu trữ đoạn cắt</t>
        </is>
      </c>
      <c r="D33" s="18" t="inlineStr">
        <is>
          <t>Quy trình Ingestion tự động đọc file PDF, làm sạch văn bản, cắt thành các đoạn nhỏ và lưu vào CSDL</t>
        </is>
      </c>
      <c r="E33" s="18" t="inlineStr">
        <is>
          <t>Pipeline xử lý tài liệu sẵn sàng; bảng document_chunks đã tạo</t>
        </is>
      </c>
      <c r="F33" s="18" t="inlineStr">
        <is>
          <t>File PDF giáo trình 'Cấu trúc dữ liệu và giải thuật' (15 trang)</t>
        </is>
      </c>
      <c r="G33" s="18" t="inlineStr">
        <is>
          <t>1. Kích hoạt quy trình xử lý tài liệu.
2. Kiểm tra số lượng các đoạn chunk được lưu trong database.</t>
        </is>
      </c>
      <c r="H33" s="18" t="inlineStr">
        <is>
          <t>Lưu đầy đủ các đoạn văn bản; mỗi đoạn ghi nhận chính xác số trang gốc và tiêu đề chương tương ứng.</t>
        </is>
      </c>
      <c r="I33" s="16" t="inlineStr">
        <is>
          <t>P0</t>
        </is>
      </c>
      <c r="J33" s="16" t="inlineStr">
        <is>
          <t>S11 / R04</t>
        </is>
      </c>
      <c r="K33" s="21" t="inlineStr">
        <is>
          <t>Trần Trung Hiếu</t>
        </is>
      </c>
      <c r="L33" s="23" t="inlineStr">
        <is>
          <t>Đạt</t>
        </is>
      </c>
      <c r="M33" s="24" t="inlineStr">
        <is>
          <t>Đạt. Pipeline đọc và phân đoạn tài liệu PDF tự động hoàn tất, tạo dữ liệu đầu vào chuẩn cho AI.</t>
        </is>
      </c>
      <c r="N33" s="24" t="n"/>
      <c r="O33" s="25" t="inlineStr">
        <is>
          <t>Nguyễn Tuấn Minh</t>
        </is>
      </c>
      <c r="P33" s="15" t="inlineStr">
        <is>
          <t>Lần 2 với MySQL</t>
        </is>
      </c>
      <c r="Q33" s="26" t="inlineStr">
        <is>
          <t>Ngày 5</t>
        </is>
      </c>
      <c r="R33" s="15" t="inlineStr">
        <is>
          <t>S1/S2 (cao) - Lỗi ở chức năng chính hoặc bảo mật</t>
        </is>
      </c>
      <c r="S33" s="27" t="inlineStr">
        <is>
          <t>Đã kiểm tra</t>
        </is>
      </c>
      <c r="T33" s="15" t="inlineStr">
        <is>
          <t>Hoàn thành kiểm thử tích hợp, sẵn sàng kiểm thử hệ thống.</t>
        </is>
      </c>
    </row>
    <row r="34" ht="96.59999999999999" customHeight="1">
      <c r="A34" s="16" t="n">
        <v>26</v>
      </c>
      <c r="B34" s="17" t="inlineStr">
        <is>
          <t>IT-026</t>
        </is>
      </c>
      <c r="C34" s="18" t="inlineStr">
        <is>
          <t>Trợ lý AI Chatbot: Trích xuất nội dung văn bản giáo trình từ tệp tài liệu Word</t>
        </is>
      </c>
      <c r="D34" s="18" t="inlineStr">
        <is>
          <t>Sử dụng thư viện Apache POI đọc toàn bộ nội dung chữ tiếng Việt từ file Word .docx của giáo viên</t>
        </is>
      </c>
      <c r="E34" s="18" t="inlineStr">
        <is>
          <t>Thư viện Apache POI được cấu hình trong pom.xml</t>
        </is>
      </c>
      <c r="F34" s="18" t="inlineStr">
        <is>
          <t>Tệp giáo trình Word .docx chứa bảng biểu và các đề mục tiêu đề</t>
        </is>
      </c>
      <c r="G34" s="18" t="inlineStr">
        <is>
          <t>1. Truyền file .docx vào service trích xuất.
2. Kiểm tra văn bản đọc được.</t>
        </is>
      </c>
      <c r="H34" s="18" t="inlineStr">
        <is>
          <t>Đọc đầy đủ các đoạn văn theo đúng thứ tự; nhận diện các tiêu đề chương mục thành cấu trúc rõ ràng.</t>
        </is>
      </c>
      <c r="I34" s="16" t="inlineStr">
        <is>
          <t>P1</t>
        </is>
      </c>
      <c r="J34" s="16" t="inlineStr">
        <is>
          <t>S11 / R04</t>
        </is>
      </c>
      <c r="K34" s="21" t="inlineStr">
        <is>
          <t>Trần Trung Hiếu</t>
        </is>
      </c>
      <c r="L34" s="23" t="inlineStr">
        <is>
          <t>Đạt</t>
        </is>
      </c>
      <c r="M34" s="24" t="inlineStr">
        <is>
          <t>Đạt. Đọc thành công tài liệu file Word .docx, tích hợp trơn tru vào hệ thống xử lý học liệu.</t>
        </is>
      </c>
      <c r="N34" s="24" t="n"/>
      <c r="O34" s="25" t="inlineStr">
        <is>
          <t>Nguyễn Tuấn Minh</t>
        </is>
      </c>
      <c r="P34" s="15" t="inlineStr">
        <is>
          <t>Lần 2 với MySQL</t>
        </is>
      </c>
      <c r="Q34" s="26" t="inlineStr">
        <is>
          <t>Ngày 5</t>
        </is>
      </c>
      <c r="R34" s="15" t="inlineStr">
        <is>
          <t>S2/S3 (vừa) - Ảnh hưởng chức năng phụ</t>
        </is>
      </c>
      <c r="S34" s="27" t="inlineStr">
        <is>
          <t>Đã kiểm tra</t>
        </is>
      </c>
      <c r="T34" s="15" t="inlineStr">
        <is>
          <t>Hoàn thành kiểm thử tích hợp, sẵn sàng kiểm thử hệ thống.</t>
        </is>
      </c>
    </row>
    <row r="35" ht="96.59999999999999" customHeight="1">
      <c r="A35" s="16" t="n">
        <v>27</v>
      </c>
      <c r="B35" s="17" t="inlineStr">
        <is>
          <t>IT-027</t>
        </is>
      </c>
      <c r="C35" s="18" t="inlineStr">
        <is>
          <t>Trợ lý AI Chatbot: Kết nối dịch vụ ngoài tạo vector nhúng 1536 chiều và lưu trữ</t>
        </is>
      </c>
      <c r="D35" s="18" t="inlineStr">
        <is>
          <t>Gọi dịch vụ sinh vector nhúng và lưu mảng 1536 số thực vào cột embedding của bảng document_chunks</t>
        </is>
      </c>
      <c r="E35" s="18" t="inlineStr">
        <is>
          <t>Dịch vụ OpenAI Embedding API sẵn sàng</t>
        </is>
      </c>
      <c r="F35" s="18" t="inlineStr">
        <is>
          <t>Danh sách 10 đoạn văn bản học liệu</t>
        </is>
      </c>
      <c r="G35" s="18" t="inlineStr">
        <is>
          <t>1. Gọi hàm sinh vector cho các đoạn văn.
2. Kiểm tra mảng số thực lưu trong cơ sở dữ liệu.</t>
        </is>
      </c>
      <c r="H35" s="18" t="inlineStr">
        <is>
          <t>Mỗi đoạn văn có một vector 1536 chiều; không bị lỗi null hay giá trị rác.</t>
        </is>
      </c>
      <c r="I35" s="16" t="inlineStr">
        <is>
          <t>P0</t>
        </is>
      </c>
      <c r="J35" s="16" t="inlineStr">
        <is>
          <t>S11 / R04</t>
        </is>
      </c>
      <c r="K35" s="21" t="inlineStr">
        <is>
          <t>Trần Trung Hiếu</t>
        </is>
      </c>
      <c r="L35" s="23" t="inlineStr">
        <is>
          <t>Đạt</t>
        </is>
      </c>
      <c r="M35" s="24" t="inlineStr">
        <is>
          <t>Đạt. Vector nhúng ngữ nghĩa được sinh và lưu trữ đầy đủ vào MySQL, hỗ trợ tìm kiếm theo ngữ cảnh.</t>
        </is>
      </c>
      <c r="N35" s="24" t="n"/>
      <c r="O35" s="25" t="inlineStr">
        <is>
          <t>Nguyễn Tuấn Minh</t>
        </is>
      </c>
      <c r="P35" s="15" t="inlineStr">
        <is>
          <t>Lần 2 với MySQL</t>
        </is>
      </c>
      <c r="Q35" s="26" t="inlineStr">
        <is>
          <t>Ngày 5</t>
        </is>
      </c>
      <c r="R35" s="15" t="inlineStr">
        <is>
          <t>S1/S2 (cao) - Lỗi ở chức năng chính hoặc bảo mật</t>
        </is>
      </c>
      <c r="S35" s="27" t="inlineStr">
        <is>
          <t>Đã kiểm tra</t>
        </is>
      </c>
      <c r="T35" s="15" t="inlineStr">
        <is>
          <t>Hoàn thành kiểm thử tích hợp, sẵn sàng kiểm thử hệ thống.</t>
        </is>
      </c>
    </row>
    <row r="36" ht="96.59999999999999" customHeight="1">
      <c r="A36" s="16" t="n">
        <v>28</v>
      </c>
      <c r="B36" s="17" t="inlineStr">
        <is>
          <t>IT-028</t>
        </is>
      </c>
      <c r="C36" s="18" t="inlineStr">
        <is>
          <t>Trợ lý AI Chatbot: Tự động xóa sạch vector cũ và lập chỉ mục lại khi đổi tệp mới</t>
        </is>
      </c>
      <c r="D36" s="18" t="inlineStr">
        <is>
          <t>Khi tác giả tải lên bản sửa đổi v2 của tài liệu, hệ thống tự xóa các vector cũ và nạp lại từ đầu</t>
        </is>
      </c>
      <c r="E36" s="18" t="inlineStr">
        <is>
          <t>Tài liệu v1 đang có sẵn 20 đoạn vector trong CSDL</t>
        </is>
      </c>
      <c r="F36" s="18" t="inlineStr">
        <is>
          <t>Tác giả bấm cập nhật file mới cho tài liệu</t>
        </is>
      </c>
      <c r="G36" s="18" t="inlineStr">
        <is>
          <t>1. Cập nhật file mới.
2. Kích hoạt tiến trình nạp lại chỉ mục.
3. Kiểm tra lại các đoạn chunk trong bảng.</t>
        </is>
      </c>
      <c r="H36" s="18" t="inlineStr">
        <is>
          <t>Toàn bộ 20 chunk của bản cũ bị xóa sạch; thay thế bằng các chunk mới của bản v2.</t>
        </is>
      </c>
      <c r="I36" s="16" t="inlineStr">
        <is>
          <t>P0</t>
        </is>
      </c>
      <c r="J36" s="16" t="inlineStr">
        <is>
          <t>S11 / R04</t>
        </is>
      </c>
      <c r="K36" s="21" t="inlineStr">
        <is>
          <t>Trần Trung Hiếu</t>
        </is>
      </c>
      <c r="L36" s="23" t="inlineStr">
        <is>
          <t>Đạt</t>
        </is>
      </c>
      <c r="M36" s="24" t="inlineStr">
        <is>
          <t>Đạt. Dữ liệu vector được đồng bộ chuẩn xác theo file mới nhất của tác giả, không bị lẫn kiến thức cũ.</t>
        </is>
      </c>
      <c r="N36" s="24" t="n"/>
      <c r="O36" s="25" t="inlineStr">
        <is>
          <t>Nguyễn Tuấn Minh</t>
        </is>
      </c>
      <c r="P36" s="15" t="inlineStr">
        <is>
          <t>Lần 2 với MySQL</t>
        </is>
      </c>
      <c r="Q36" s="26" t="inlineStr">
        <is>
          <t>Ngày 5</t>
        </is>
      </c>
      <c r="R36" s="15" t="inlineStr">
        <is>
          <t>S1/S2 (cao) - Lỗi ở chức năng chính hoặc bảo mật</t>
        </is>
      </c>
      <c r="S36" s="27" t="inlineStr">
        <is>
          <t>Đã kiểm tra</t>
        </is>
      </c>
      <c r="T36" s="15" t="inlineStr">
        <is>
          <t>Hoàn thành kiểm thử tích hợp, sẵn sàng kiểm thử hệ thống.</t>
        </is>
      </c>
    </row>
    <row r="37" ht="96.59999999999999" customHeight="1">
      <c r="A37" s="16" t="n">
        <v>29</v>
      </c>
      <c r="B37" s="17" t="inlineStr">
        <is>
          <t>IT-029</t>
        </is>
      </c>
      <c r="C37" s="18" t="inlineStr">
        <is>
          <t>Trợ lý AI Chatbot: Tìm kiếm kết hợp giữa từ khóa truyền thống và vector ngữ nghĩa</t>
        </is>
      </c>
      <c r="D37" s="18" t="inlineStr">
        <is>
          <t>Tích hợp tìm kiếm kết hợp (Hybrid Search): vừa so khớp từ khóa gõ đúng vừa tìm theo nghĩa tương đồng</t>
        </is>
      </c>
      <c r="E37" s="18" t="inlineStr">
        <is>
          <t>Cơ sở dữ liệu có sẵn học liệu và các vector nhúng</t>
        </is>
      </c>
      <c r="F37" s="18" t="inlineStr">
        <is>
          <t>Câu hỏi: 'Cây đỏ đen trong cấu trúc dữ liệu'</t>
        </is>
      </c>
      <c r="G37" s="18" t="inlineStr">
        <is>
          <t>1. Gọi hàm tìm kiếm kết hợp retrievalService.hybridSearch().
2. Đánh giá danh sách kết quả.</t>
        </is>
      </c>
      <c r="H37" s="18" t="inlineStr">
        <is>
          <t>Trả về các tài liệu vừa đúng từ khóa vừa khớp ngữ cảnh giải thuật của câu hỏi.</t>
        </is>
      </c>
      <c r="I37" s="16" t="inlineStr">
        <is>
          <t>P0</t>
        </is>
      </c>
      <c r="J37" s="16" t="inlineStr">
        <is>
          <t>S11 / R04</t>
        </is>
      </c>
      <c r="K37" s="21" t="inlineStr">
        <is>
          <t>Trần Trung Hiếu</t>
        </is>
      </c>
      <c r="L37" s="23" t="inlineStr">
        <is>
          <t>Đạt</t>
        </is>
      </c>
      <c r="M37" s="24" t="inlineStr">
        <is>
          <t>Đạt. Tìm kiếm kết hợp mang lại kết quả chính xác vượt trội so với chỉ tìm theo từ khóa thông thường.</t>
        </is>
      </c>
      <c r="N37" s="24" t="n"/>
      <c r="O37" s="25" t="inlineStr">
        <is>
          <t>Nguyễn Tuấn Minh</t>
        </is>
      </c>
      <c r="P37" s="15" t="inlineStr">
        <is>
          <t>Lần 2 với MySQL</t>
        </is>
      </c>
      <c r="Q37" s="26" t="inlineStr">
        <is>
          <t>Ngày 5</t>
        </is>
      </c>
      <c r="R37" s="15" t="inlineStr">
        <is>
          <t>S1/S2 (cao) - Lỗi ở chức năng chính hoặc bảo mật</t>
        </is>
      </c>
      <c r="S37" s="27" t="inlineStr">
        <is>
          <t>Đã kiểm tra</t>
        </is>
      </c>
      <c r="T37" s="15" t="inlineStr">
        <is>
          <t>Hoàn thành kiểm thử tích hợp, sẵn sàng kiểm thử hệ thống.</t>
        </is>
      </c>
    </row>
    <row r="38" ht="96.59999999999999" customHeight="1">
      <c r="A38" s="16" t="n">
        <v>30</v>
      </c>
      <c r="B38" s="17" t="inlineStr">
        <is>
          <t>IT-030</t>
        </is>
      </c>
      <c r="C38" s="18" t="inlineStr">
        <is>
          <t>Trợ lý AI Chatbot: Báo lỗi và hủy tiến trình xử lý khi gặp tệp tài liệu PDF bị hỏng</t>
        </is>
      </c>
      <c r="D38" s="18" t="inlineStr">
        <is>
          <t>Tự động hoàn tác giao dịch và báo lỗi rõ ràng nếu file PDF tải lên bị hỏng cấu trúc (corrupted)</t>
        </is>
      </c>
      <c r="E38" s="18" t="inlineStr">
        <is>
          <t>File PDF bị lỗi mất đuôi hoặc bị cắt cụt dữ liệu</t>
        </is>
      </c>
      <c r="F38" s="18" t="inlineStr">
        <is>
          <t>File PDF lỗi cấu trúc nhị phân</t>
        </is>
      </c>
      <c r="G38" s="18" t="inlineStr">
        <is>
          <t>1. Đưa file hỏng vào tiến trình xử lý.
2. Quan sát phản hồi lỗi của hệ thống.</t>
        </is>
      </c>
      <c r="H38" s="18" t="inlineStr">
        <is>
          <t>Hủy toàn bộ giao dịch; không lưu các đoạn dở dang; đánh dấu tài liệu trạng thái lỗi để tác giả biết.</t>
        </is>
      </c>
      <c r="I38" s="16" t="inlineStr">
        <is>
          <t>P1</t>
        </is>
      </c>
      <c r="J38" s="16" t="inlineStr">
        <is>
          <t>S11 / R04</t>
        </is>
      </c>
      <c r="K38" s="21" t="inlineStr">
        <is>
          <t>Trần Trung Hiếu</t>
        </is>
      </c>
      <c r="L38" s="23" t="inlineStr">
        <is>
          <t>Đạt</t>
        </is>
      </c>
      <c r="M38" s="24" t="inlineStr">
        <is>
          <t>Đạt. Hệ thống phát hiện file lỗi từ sớm và cô lập an toàn, không làm ảnh hưởng tới các tiến trình khác.</t>
        </is>
      </c>
      <c r="N38" s="24" t="n"/>
      <c r="O38" s="25" t="inlineStr">
        <is>
          <t>Nguyễn Tuấn Minh</t>
        </is>
      </c>
      <c r="P38" s="15" t="inlineStr">
        <is>
          <t>Lần 2 với MySQL</t>
        </is>
      </c>
      <c r="Q38" s="26" t="inlineStr">
        <is>
          <t>Ngày 5</t>
        </is>
      </c>
      <c r="R38" s="15" t="inlineStr">
        <is>
          <t>S2/S3 (vừa) - Ảnh hưởng chức năng phụ</t>
        </is>
      </c>
      <c r="S38" s="27" t="inlineStr">
        <is>
          <t>Đã kiểm tra</t>
        </is>
      </c>
      <c r="T38" s="15" t="inlineStr">
        <is>
          <t>Hoàn thành kiểm thử tích hợp, sẵn sàng kiểm thử hệ thống.</t>
        </is>
      </c>
    </row>
    <row r="39" ht="96.59999999999999" customHeight="1">
      <c r="A39" s="16" t="n">
        <v>31</v>
      </c>
      <c r="B39" s="17" t="inlineStr">
        <is>
          <t>IT-031</t>
        </is>
      </c>
      <c r="C39" s="18" t="inlineStr">
        <is>
          <t>Trợ lý AI Chatbot: Xóa toàn bộ dữ liệu vector liên quan khi tài liệu bị xóa vĩnh viễn</t>
        </is>
      </c>
      <c r="D39" s="18" t="inlineStr">
        <is>
          <t>Khi Admin xóa một tài liệu khỏi hệ thống, toàn bộ các đoạn văn bản và vector liên kết tự động bị xóa theo</t>
        </is>
      </c>
      <c r="E39" s="18" t="inlineStr">
        <is>
          <t>Tài liệu đang có 30 đoạn chunk trong database</t>
        </is>
      </c>
      <c r="F39" s="18" t="inlineStr">
        <is>
          <t>Admin thực hiện thao tác xóa vĩnh viễn tài liệu</t>
        </is>
      </c>
      <c r="G39" s="18" t="inlineStr">
        <is>
          <t>1. Gọi hàm xóa tài liệu.
2. Truy vấn lại bảng document_chunks theo mã tài liệu đó.</t>
        </is>
      </c>
      <c r="H39" s="18" t="inlineStr">
        <is>
          <t>Không còn sót lại bản ghi chunk nào; giải phóng dung lượng bộ nhớ CSDL sạch sẽ.</t>
        </is>
      </c>
      <c r="I39" s="16" t="inlineStr">
        <is>
          <t>P0</t>
        </is>
      </c>
      <c r="J39" s="16" t="inlineStr">
        <is>
          <t>S04,S11 / R02</t>
        </is>
      </c>
      <c r="K39" s="21" t="inlineStr">
        <is>
          <t>Trần Trung Hiếu</t>
        </is>
      </c>
      <c r="L39" s="23" t="inlineStr">
        <is>
          <t>Đạt</t>
        </is>
      </c>
      <c r="M39" s="24" t="inlineStr">
        <is>
          <t>Đạt. Ràng buộc khóa ngoại Cascade xóa sạch toàn bộ dữ liệu vector liên quan, giữ database luôn gọn gàng.</t>
        </is>
      </c>
      <c r="N39" s="24" t="n"/>
      <c r="O39" s="25" t="inlineStr">
        <is>
          <t>Nguyễn Tuấn Minh</t>
        </is>
      </c>
      <c r="P39" s="15" t="inlineStr">
        <is>
          <t>Lần 2 với MySQL</t>
        </is>
      </c>
      <c r="Q39" s="26" t="inlineStr">
        <is>
          <t>Ngày 5</t>
        </is>
      </c>
      <c r="R39" s="15" t="inlineStr">
        <is>
          <t>S1/S2 (cao) - Lỗi ở chức năng chính hoặc bảo mật</t>
        </is>
      </c>
      <c r="S39" s="27" t="inlineStr">
        <is>
          <t>Đã kiểm tra</t>
        </is>
      </c>
      <c r="T39" s="15" t="inlineStr">
        <is>
          <t>Hoàn thành kiểm thử tích hợp, sẵn sàng kiểm thử hệ thống.</t>
        </is>
      </c>
    </row>
    <row r="40" ht="96.59999999999999" customHeight="1">
      <c r="A40" s="16" t="n">
        <v>32</v>
      </c>
      <c r="B40" s="17" t="inlineStr">
        <is>
          <t>IT-032</t>
        </is>
      </c>
      <c r="C40" s="18" t="inlineStr">
        <is>
          <t>Trợ lý AI Chatbot: Thống kê số lượng học liệu đã hoàn tất lập chỉ mục cho quản trị</t>
        </is>
      </c>
      <c r="D40" s="18" t="inlineStr">
        <is>
          <t>Màn hình quản trị RAG hiển thị đầy đủ tổng số tài liệu, số chunk đã tạo và hỗ trợ nút bấm nạp lại</t>
        </is>
      </c>
      <c r="E40" s="18" t="inlineStr">
        <is>
          <t>Đăng nhập tài khoản Admin vào trang /admin/rag</t>
        </is>
      </c>
      <c r="F40" s="18" t="inlineStr">
        <is>
          <t>Kho tài liệu đang có 10 bài đã index và 2 bài chưa index</t>
        </is>
      </c>
      <c r="G40" s="18" t="inlineStr">
        <is>
          <t>1. Mở trang quản trị RAG.
2. Kiểm tra các số liệu thống kê hiển thị trên màn hình.</t>
        </is>
      </c>
      <c r="H40" s="18" t="inlineStr">
        <is>
          <t>Hiển thị đúng tổng số bài, tỷ lệ nạp thành công; các nút bấm chạy lại chỉ mục hoạt động tốt.</t>
        </is>
      </c>
      <c r="I40" s="16" t="inlineStr">
        <is>
          <t>P1</t>
        </is>
      </c>
      <c r="J40" s="16" t="inlineStr">
        <is>
          <t>S11 / R04</t>
        </is>
      </c>
      <c r="K40" s="21" t="inlineStr">
        <is>
          <t>Trần Trung Hiếu</t>
        </is>
      </c>
      <c r="L40" s="23" t="inlineStr">
        <is>
          <t>Đạt</t>
        </is>
      </c>
      <c r="M40" s="24" t="inlineStr">
        <is>
          <t>Đạt. Màn hình quản trị cung cấp đầy đủ công cụ theo dõi tiến trình nạp dữ liệu cho AI rất trực quan.</t>
        </is>
      </c>
      <c r="N40" s="24" t="n"/>
      <c r="O40" s="25" t="inlineStr">
        <is>
          <t>Nguyễn Tuấn Minh</t>
        </is>
      </c>
      <c r="P40" s="15" t="inlineStr">
        <is>
          <t>Lần 2 với MySQL</t>
        </is>
      </c>
      <c r="Q40" s="26" t="inlineStr">
        <is>
          <t>Ngày 5</t>
        </is>
      </c>
      <c r="R40" s="15" t="inlineStr">
        <is>
          <t>S2/S3 (vừa) - Ảnh hưởng chức năng phụ</t>
        </is>
      </c>
      <c r="S40" s="27" t="inlineStr">
        <is>
          <t>Đã kiểm tra</t>
        </is>
      </c>
      <c r="T40" s="15" t="inlineStr">
        <is>
          <t>Hoàn thành kiểm thử tích hợp, sẵn sàng kiểm thử hệ thống.</t>
        </is>
      </c>
    </row>
    <row r="41" ht="96.59999999999999" customHeight="1">
      <c r="A41" s="16" t="n">
        <v>33</v>
      </c>
      <c r="B41" s="17" t="inlineStr">
        <is>
          <t>IT-033</t>
        </is>
      </c>
      <c r="C41" s="18" t="inlineStr">
        <is>
          <t>Trợ lý AI Chatbot: Gửi câu hỏi vào cổng API hội thoại và nhận câu trả lời kèm trích dẫn</t>
        </is>
      </c>
      <c r="D41" s="18" t="inlineStr">
        <is>
          <t>Đường dẫn API /api/assistant/ask tiếp nhận câu hỏi của sinh viên và trả về câu trả lời định dạng JSON</t>
        </is>
      </c>
      <c r="E41" s="18" t="inlineStr">
        <is>
          <t>Hệ thống RAG và OpenAI Service sẵn sàng hoạt động</t>
        </is>
      </c>
      <c r="F41" s="18" t="inlineStr">
        <is>
          <t>Câu hỏi gửi qua JSON: {'question': 'Nguyên lý SOLID trong lập trình là gì?'}</t>
        </is>
      </c>
      <c r="G41" s="18" t="inlineStr">
        <is>
          <t>1. Gửi request POST tới /api/assistant/ask.
2. Kiểm tra cấu trúc gói tin JSON trả về.</t>
        </is>
      </c>
      <c r="H41" s="18" t="inlineStr">
        <is>
          <t>HTTP 200; JSON chứa trường answer (nội dung trả lời) và mảng citations (danh sách nguồn trích dẫn).</t>
        </is>
      </c>
      <c r="I41" s="16" t="inlineStr">
        <is>
          <t>P0</t>
        </is>
      </c>
      <c r="J41" s="16" t="inlineStr">
        <is>
          <t>S11 / R04</t>
        </is>
      </c>
      <c r="K41" s="21" t="inlineStr">
        <is>
          <t>Trần Trung Hiếu</t>
        </is>
      </c>
      <c r="L41" s="23" t="inlineStr">
        <is>
          <t>Đạt</t>
        </is>
      </c>
      <c r="M41" s="24" t="inlineStr">
        <is>
          <t>Đạt. API xử lý câu hỏi nhanh chóng, trả về câu trả lời chuẩn xác từ học liệu kèm nguồn trích dẫn.</t>
        </is>
      </c>
      <c r="N41" s="24" t="n"/>
      <c r="O41" s="25" t="inlineStr">
        <is>
          <t>Nguyễn Tuấn Minh</t>
        </is>
      </c>
      <c r="P41" s="15" t="inlineStr">
        <is>
          <t>Lần 2 với MySQL</t>
        </is>
      </c>
      <c r="Q41" s="26" t="inlineStr">
        <is>
          <t>Ngày 5</t>
        </is>
      </c>
      <c r="R41" s="15" t="inlineStr">
        <is>
          <t>S1/S2 (cao) - Lỗi ở chức năng chính hoặc bảo mật</t>
        </is>
      </c>
      <c r="S41" s="27" t="inlineStr">
        <is>
          <t>Đã kiểm tra</t>
        </is>
      </c>
      <c r="T41" s="15" t="inlineStr">
        <is>
          <t>Hoàn thành kiểm thử tích hợp, sẵn sàng kiểm thử hệ thống.</t>
        </is>
      </c>
    </row>
    <row r="42" ht="96.59999999999999" customHeight="1">
      <c r="A42" s="16" t="n">
        <v>34</v>
      </c>
      <c r="B42" s="17" t="inlineStr">
        <is>
          <t>IT-034</t>
        </is>
      </c>
      <c r="C42" s="18" t="inlineStr">
        <is>
          <t>Trợ lý AI Chatbot: Kết nối công cụ tự động tra cứu dữ liệu thời gian và thời tiết</t>
        </is>
      </c>
      <c r="D42" s="18" t="inlineStr">
        <is>
          <t>Mô hình AI tự động gọi các hàm nghiệp vụ Java khi sinh viên hỏi về tác giả hoặc năm xuất bản giáo trình</t>
        </is>
      </c>
      <c r="E42" s="18" t="inlineStr">
        <is>
          <t>Các hàm công cụ tra cứu cơ sở dữ liệu đã đăng ký vào hệ thống</t>
        </is>
      </c>
      <c r="F42" s="18" t="inlineStr">
        <is>
          <t>Câu hỏi: 'Tìm các tài liệu của tác giả Allen Downey xuất bản năm 2020'</t>
        </is>
      </c>
      <c r="G42" s="18" t="inlineStr">
        <is>
          <t>1. Gửi câu hỏi vào hệ thống RAG.
2. Kiểm tra nhật ký gọi hàm ngầm của AI.</t>
        </is>
      </c>
      <c r="H42" s="18" t="inlineStr">
        <is>
          <t>AI tự gọi hàm search_documents_by_author; nhận dữ liệu từ SQL và trả lời đầy đủ cho người dùng.</t>
        </is>
      </c>
      <c r="I42" s="16" t="inlineStr">
        <is>
          <t>P1</t>
        </is>
      </c>
      <c r="J42" s="16" t="inlineStr">
        <is>
          <t>S11 / R04</t>
        </is>
      </c>
      <c r="K42" s="21" t="inlineStr">
        <is>
          <t>Trần Trung Hiếu</t>
        </is>
      </c>
      <c r="L42" s="23" t="inlineStr">
        <is>
          <t>Đạt</t>
        </is>
      </c>
      <c r="M42" s="24" t="inlineStr">
        <is>
          <t>Đạt. Cơ chế Tool Calling kết nối mượt mà giữa AI và các hàm nghiệp vụ Java của hệ thống.</t>
        </is>
      </c>
      <c r="N42" s="24" t="n"/>
      <c r="O42" s="25" t="inlineStr">
        <is>
          <t>Nguyễn Tuấn Minh</t>
        </is>
      </c>
      <c r="P42" s="15" t="inlineStr">
        <is>
          <t>Lần 2 với MySQL</t>
        </is>
      </c>
      <c r="Q42" s="26" t="inlineStr">
        <is>
          <t>Ngày 5</t>
        </is>
      </c>
      <c r="R42" s="15" t="inlineStr">
        <is>
          <t>S2/S3 (vừa) - Ảnh hưởng chức năng phụ</t>
        </is>
      </c>
      <c r="S42" s="27" t="inlineStr">
        <is>
          <t>Đã kiểm tra</t>
        </is>
      </c>
      <c r="T42" s="15" t="inlineStr">
        <is>
          <t>Hoàn thành kiểm thử tích hợp, sẵn sàng kiểm thử hệ thống.</t>
        </is>
      </c>
    </row>
    <row r="43" ht="96.59999999999999" customHeight="1">
      <c r="A43" s="16" t="n">
        <v>35</v>
      </c>
      <c r="B43" s="17" t="inlineStr">
        <is>
          <t>IT-035</t>
        </is>
      </c>
      <c r="C43" s="18" t="inlineStr">
        <is>
          <t>Trợ lý AI Chatbot: Lưu lại đầy đủ lịch sử câu hỏi và câu trả lời của sinh viên</t>
        </is>
      </c>
      <c r="D43" s="18" t="inlineStr">
        <is>
          <t>Tự động lưu lịch sử các lượt chat vào bảng document_assistant_messages để sinh viên xem lại khi cần</t>
        </is>
      </c>
      <c r="E43" s="18" t="inlineStr">
        <is>
          <t>Người dùng đã đăng nhập; bảng lưu tin nhắn sẵn sàng</t>
        </is>
      </c>
      <c r="F43" s="18" t="inlineStr">
        <is>
          <t>Sinh viên thực hiện 3 lượt hỏi đáp liên tiếp</t>
        </is>
      </c>
      <c r="G43" s="18" t="inlineStr">
        <is>
          <t>1. Gửi 3 câu hỏi qua khung chat.
2. Kiểm tra các bản ghi trong bảng lịch sử tin nhắn.</t>
        </is>
      </c>
      <c r="H43" s="18" t="inlineStr">
        <is>
          <t>Lưu đủ 3 cặp câu hỏi và câu trả lời; lưu kèm thời gian và các nguồn trích dẫn liên quan.</t>
        </is>
      </c>
      <c r="I43" s="16" t="inlineStr">
        <is>
          <t>P1</t>
        </is>
      </c>
      <c r="J43" s="16" t="inlineStr">
        <is>
          <t>S11 / R04</t>
        </is>
      </c>
      <c r="K43" s="21" t="inlineStr">
        <is>
          <t>Trần Trung Hiếu</t>
        </is>
      </c>
      <c r="L43" s="23" t="inlineStr">
        <is>
          <t>Đạt</t>
        </is>
      </c>
      <c r="M43" s="24" t="inlineStr">
        <is>
          <t>Đạt. Lịch sử hỏi đáp được lưu trữ bền vững, giúp sinh viên có thể xem lại bài học bất cứ lúc nào.</t>
        </is>
      </c>
      <c r="N43" s="24" t="n"/>
      <c r="O43" s="25" t="inlineStr">
        <is>
          <t>Nguyễn Tuấn Minh</t>
        </is>
      </c>
      <c r="P43" s="15" t="inlineStr">
        <is>
          <t>Lần 2 với MySQL</t>
        </is>
      </c>
      <c r="Q43" s="26" t="inlineStr">
        <is>
          <t>Ngày 5</t>
        </is>
      </c>
      <c r="R43" s="15" t="inlineStr">
        <is>
          <t>S2/S3 (vừa) - Ảnh hưởng chức năng phụ</t>
        </is>
      </c>
      <c r="S43" s="27" t="inlineStr">
        <is>
          <t>Đã kiểm tra</t>
        </is>
      </c>
      <c r="T43" s="15" t="inlineStr">
        <is>
          <t>Hoàn thành kiểm thử tích hợp, sẵn sàng kiểm thử hệ thống.</t>
        </is>
      </c>
    </row>
    <row r="44" ht="96.59999999999999" customHeight="1">
      <c r="A44" s="16" t="n">
        <v>36</v>
      </c>
      <c r="B44" s="17" t="inlineStr">
        <is>
          <t>IT-036</t>
        </is>
      </c>
      <c r="C44" s="18" t="inlineStr">
        <is>
          <t>Bảo mật AI Chatbot: Kiểm tra khả năng chống chịu các kịch bản tiêm lệnh bẻ khóa trợ lý ảo</t>
        </is>
      </c>
      <c r="D44" s="18" t="inlineStr">
        <is>
          <t>Chạy bộ kiểm thử tự động OwaspRagEndToEndTest đảm bảo Bot không bị lừa làm lộ dữ liệu mật</t>
        </is>
      </c>
      <c r="E44" s="18" t="inlineStr">
        <is>
          <t>Bộ kiểm thử tự động OwaspRagEndToEndTest sẵn sàng</t>
        </is>
      </c>
      <c r="F44" s="18" t="inlineStr">
        <is>
          <t>10 kịch bản câu hỏi cài bẫy thử nghiệm bảo mật AI</t>
        </is>
      </c>
      <c r="G44" s="18" t="inlineStr">
        <is>
          <t>1. Chạy lớp test OwaspRagEndToEndTest.
2. Kiểm tra kết quả các phép thử bảo mật.</t>
        </is>
      </c>
      <c r="H44" s="18" t="inlineStr">
        <is>
          <t>100% các phép thử đều đạt; Bot từ chối lịch sự và tuyệt đối không để lộ thông tin cấu hình máy chủ.</t>
        </is>
      </c>
      <c r="I44" s="16" t="inlineStr">
        <is>
          <t>P0</t>
        </is>
      </c>
      <c r="J44" s="16" t="inlineStr">
        <is>
          <t>S11 / R04</t>
        </is>
      </c>
      <c r="K44" s="21" t="inlineStr">
        <is>
          <t>Trần Trung Hiếu</t>
        </is>
      </c>
      <c r="L44" s="23" t="inlineStr">
        <is>
          <t>Đạt</t>
        </is>
      </c>
      <c r="M44" s="24" t="inlineStr">
        <is>
          <t>Đạt 100%. Trợ lý AI đáp ứng xuất sắc các tiêu chuẩn an toàn bảo mật cho hệ thống học tập.</t>
        </is>
      </c>
      <c r="N44" s="24" t="n"/>
      <c r="O44" s="25" t="inlineStr">
        <is>
          <t>Nguyễn Tuấn Minh</t>
        </is>
      </c>
      <c r="P44" s="15" t="inlineStr">
        <is>
          <t>Lần 2 với MySQL</t>
        </is>
      </c>
      <c r="Q44" s="26" t="inlineStr">
        <is>
          <t>Ngày 5</t>
        </is>
      </c>
      <c r="R44" s="15" t="inlineStr">
        <is>
          <t>S1/S2 (cao) - Lỗi ở chức năng chính hoặc bảo mật</t>
        </is>
      </c>
      <c r="S44" s="27" t="inlineStr">
        <is>
          <t>Đã kiểm tra</t>
        </is>
      </c>
      <c r="T44" s="15" t="inlineStr">
        <is>
          <t>Hoàn thành kiểm thử tích hợp, sẵn sàng kiểm thử hệ thống.</t>
        </is>
      </c>
    </row>
    <row r="45" ht="96.59999999999999" customHeight="1">
      <c r="A45" s="16" t="n">
        <v>37</v>
      </c>
      <c r="B45" s="17" t="inlineStr">
        <is>
          <t>IT-037</t>
        </is>
      </c>
      <c r="C45" s="18" t="inlineStr">
        <is>
          <t>Giao diện người dùng: Kiểm thử tích hợp tự động các nút bấm và hộp thoại tương tác</t>
        </is>
      </c>
      <c r="D45" s="18" t="inlineStr">
        <is>
          <t>Sử dụng script tự động hóa Playwright kiểm tra toàn diện 12 trang web chính không có lỗi JavaScript</t>
        </is>
      </c>
      <c r="E45" s="18" t="inlineStr">
        <is>
          <t>Web đang chạy ở cổng 8080; chạy script frontend-regression.test.cjs</t>
        </is>
      </c>
      <c r="F45" s="18" t="inlineStr">
        <is>
          <t>Kịch bản tự động mở trang chủ, danh mục và trang đọc sách</t>
        </is>
      </c>
      <c r="G45" s="18" t="inlineStr">
        <is>
          <t>1. Chạy lệnh kiểm thử giao diện frontend.
2. Kiểm tra log ghi nhận lỗi trên console.</t>
        </is>
      </c>
      <c r="H45" s="18" t="inlineStr">
        <is>
          <t>Tất cả các trang tải nhanh, hiển thị đúng các khối giao diện; không có lỗi JavaScript console.</t>
        </is>
      </c>
      <c r="I45" s="16" t="inlineStr">
        <is>
          <t>P1</t>
        </is>
      </c>
      <c r="J45" s="16" t="inlineStr">
        <is>
          <t>S10 / R01</t>
        </is>
      </c>
      <c r="K45" s="21" t="inlineStr">
        <is>
          <t>Trần Trung Hiếu</t>
        </is>
      </c>
      <c r="L45" s="23" t="inlineStr">
        <is>
          <t>Đạt</t>
        </is>
      </c>
      <c r="M45" s="24" t="inlineStr">
        <is>
          <t>Đạt. Giao diện toàn bộ 12 trang web hoạt động mượt mà, không phát sinh lỗi giao diện nào.</t>
        </is>
      </c>
      <c r="N45" s="24" t="n"/>
      <c r="O45" s="25" t="inlineStr">
        <is>
          <t>Nguyễn Tuấn Minh</t>
        </is>
      </c>
      <c r="P45" s="15" t="inlineStr">
        <is>
          <t>Lần 2 với MySQL</t>
        </is>
      </c>
      <c r="Q45" s="26" t="inlineStr">
        <is>
          <t>Ngày 5</t>
        </is>
      </c>
      <c r="R45" s="15" t="inlineStr">
        <is>
          <t>S2/S3 (vừa) - Ảnh hưởng chức năng phụ</t>
        </is>
      </c>
      <c r="S45" s="27" t="inlineStr">
        <is>
          <t>Đã kiểm tra</t>
        </is>
      </c>
      <c r="T45" s="15" t="inlineStr">
        <is>
          <t>Hoàn thành kiểm thử tích hợp, sẵn sàng kiểm thử hệ thống.</t>
        </is>
      </c>
    </row>
    <row r="46" ht="96.59999999999999" customHeight="1">
      <c r="A46" s="16" t="n">
        <v>38</v>
      </c>
      <c r="B46" s="17" t="inlineStr">
        <is>
          <t>IT-038</t>
        </is>
      </c>
      <c r="C46" s="18" t="inlineStr">
        <is>
          <t>Thông báo hệ thống: Tự động cập nhật số lượng thông báo mới trên thanh tiêu đề không cần tải lại</t>
        </is>
      </c>
      <c r="D46" s="18" t="inlineStr">
        <is>
          <t>Kiểm tra cơ chế cập nhật tự động một góc màn hình (DOM Region) khi có thông báo mới đến</t>
        </is>
      </c>
      <c r="E46" s="18" t="inlineStr">
        <is>
          <t>Mở sẵn trang cá nhân; kích hoạt sự kiện có thông báo mới từ backend</t>
        </is>
      </c>
      <c r="F46" s="18" t="inlineStr">
        <is>
          <t>Bắn gói tin thông báo mới qua kênh SSE</t>
        </is>
      </c>
      <c r="G46" s="18" t="inlineStr">
        <is>
          <t>1. Chạy script realtime-regions.test.cjs.
2. Quan sát số đỏ trên biểu tượng chuông thông báo.</t>
        </is>
      </c>
      <c r="H46" s="18" t="inlineStr">
        <is>
          <t>Số thông báo tự tăng lên ngay trong nháy mắt; hiệu ứng viền sáng nhẹ báo hiệu có tin mới.</t>
        </is>
      </c>
      <c r="I46" s="16" t="inlineStr">
        <is>
          <t>P1</t>
        </is>
      </c>
      <c r="J46" s="16" t="inlineStr">
        <is>
          <t>S10 / R02</t>
        </is>
      </c>
      <c r="K46" s="21" t="inlineStr">
        <is>
          <t>Trần Trung Hiếu</t>
        </is>
      </c>
      <c r="L46" s="23" t="inlineStr">
        <is>
          <t>Đạt</t>
        </is>
      </c>
      <c r="M46" s="24" t="inlineStr">
        <is>
          <t>Đạt. Tính năng cập nhật tức thì trên giao diện hoạt động rất mượt mà, tạo cảm giác hiện đại.</t>
        </is>
      </c>
      <c r="N46" s="24" t="n"/>
      <c r="O46" s="25" t="inlineStr">
        <is>
          <t>Nguyễn Tuấn Minh</t>
        </is>
      </c>
      <c r="P46" s="15" t="inlineStr">
        <is>
          <t>Lần 2 với MySQL</t>
        </is>
      </c>
      <c r="Q46" s="26" t="inlineStr">
        <is>
          <t>Ngày 5</t>
        </is>
      </c>
      <c r="R46" s="15" t="inlineStr">
        <is>
          <t>S2/S3 (vừa) - Ảnh hưởng chức năng phụ</t>
        </is>
      </c>
      <c r="S46" s="27" t="inlineStr">
        <is>
          <t>Đã kiểm tra</t>
        </is>
      </c>
      <c r="T46" s="15" t="inlineStr">
        <is>
          <t>Hoàn thành kiểm thử tích hợp, sẵn sàng kiểm thử hệ thống.</t>
        </is>
      </c>
    </row>
    <row r="47" ht="96.59999999999999" customHeight="1">
      <c r="A47" s="16" t="n">
        <v>39</v>
      </c>
      <c r="B47" s="17" t="inlineStr">
        <is>
          <t>IT-039</t>
        </is>
      </c>
      <c r="C47" s="18" t="inlineStr">
        <is>
          <t>Giao diện người dùng: Giữ nguyên trạng thái phân trang và bộ lọc khi quay lại danh sách</t>
        </is>
      </c>
      <c r="D47" s="18" t="inlineStr">
        <is>
          <t>Duy trì bộ lọc tìm kiếm đang chọn khi sinh viên bấm vào xem một bài rồi bấm nút quay lại danh sách</t>
        </is>
      </c>
      <c r="E47" s="18" t="inlineStr">
        <is>
          <t>Sinh viên đang xem trang 2 của danh mục môn 'Lập trình Java'</t>
        </is>
      </c>
      <c r="F47" s="18" t="inlineStr">
        <is>
          <t>Bấm vào xem bài số 15 rồi bấm nút 'Quay lại'</t>
        </is>
      </c>
      <c r="G47" s="18" t="inlineStr">
        <is>
          <t>1. Bấm xem chi tiết tài liệu.
2. Bấm nút quay lại trang danh sách.
3. Kiểm tra các ô chọn bộ lọc.</t>
        </is>
      </c>
      <c r="H47" s="18" t="inlineStr">
        <is>
          <t>Vẫn giữ đúng trang 2 và bộ lọc môn 'Lập trình Java'; không bị nhảy về trang 1 ban đầu.</t>
        </is>
      </c>
      <c r="I47" s="16" t="inlineStr">
        <is>
          <t>P1</t>
        </is>
      </c>
      <c r="J47" s="16" t="inlineStr">
        <is>
          <t>S07,S08 / R01</t>
        </is>
      </c>
      <c r="K47" s="21" t="inlineStr">
        <is>
          <t>Trần Trung Hiếu</t>
        </is>
      </c>
      <c r="L47" s="23" t="inlineStr">
        <is>
          <t>Đạt</t>
        </is>
      </c>
      <c r="M47" s="24" t="inlineStr">
        <is>
          <t>Đạt. Trạng thái tìm kiếm được lưu giữ trong phiên làm việc, sinh viên không phải chọn lại bộ lọc từ đầu.</t>
        </is>
      </c>
      <c r="N47" s="24" t="n"/>
      <c r="O47" s="25" t="inlineStr">
        <is>
          <t>Nguyễn Tuấn Minh</t>
        </is>
      </c>
      <c r="P47" s="15" t="inlineStr">
        <is>
          <t>Lần 2 với MySQL</t>
        </is>
      </c>
      <c r="Q47" s="26" t="inlineStr">
        <is>
          <t>Ngày 5</t>
        </is>
      </c>
      <c r="R47" s="15" t="inlineStr">
        <is>
          <t>S2/S3 (vừa) - Ảnh hưởng chức năng phụ</t>
        </is>
      </c>
      <c r="S47" s="27" t="inlineStr">
        <is>
          <t>Đã kiểm tra</t>
        </is>
      </c>
      <c r="T47" s="15" t="inlineStr">
        <is>
          <t>Hoàn thành kiểm thử tích hợp, sẵn sàng kiểm thử hệ thống.</t>
        </is>
      </c>
    </row>
    <row r="48" ht="96.59999999999999" customHeight="1">
      <c r="A48" s="16" t="n">
        <v>40</v>
      </c>
      <c r="B48" s="17" t="inlineStr">
        <is>
          <t>IT-040</t>
        </is>
      </c>
      <c r="C48" s="18" t="inlineStr">
        <is>
          <t>Xác thực tài khoản: Hủy bỏ hoàn toàn phiên làm việc và mã xác thực khi người dùng đăng xuất</t>
        </is>
      </c>
      <c r="D48" s="18" t="inlineStr">
        <is>
          <t>Khi người dùng bấm Đăng xuất, hệ thống hủy hoàn toàn cookie phiên và ghi nhận log đăng xuất</t>
        </is>
      </c>
      <c r="E48" s="18" t="inlineStr">
        <is>
          <t>Tài khoản đang đăng nhập bình thường</t>
        </is>
      </c>
      <c r="F48" s="18" t="inlineStr">
        <is>
          <t>Gửi yêu cầu POST /auth/logout</t>
        </is>
      </c>
      <c r="G48" s="18" t="inlineStr">
        <is>
          <t>1. Nhấn nút Đăng xuất trên menu.
2. Thử bấm nút Back trên trình duyệt xem có vào lại được không.</t>
        </is>
      </c>
      <c r="H48" s="18" t="inlineStr">
        <is>
          <t>Cookie bị xóa; chuyển về trang đăng nhập; bấm Back không xem lại được dữ liệu cá nhân.</t>
        </is>
      </c>
      <c r="I48" s="16" t="inlineStr">
        <is>
          <t>P0</t>
        </is>
      </c>
      <c r="J48" s="16" t="inlineStr">
        <is>
          <t>S01 / R01</t>
        </is>
      </c>
      <c r="K48" s="21" t="inlineStr">
        <is>
          <t>Trần Trung Hiếu</t>
        </is>
      </c>
      <c r="L48" s="23" t="inlineStr">
        <is>
          <t>Đạt</t>
        </is>
      </c>
      <c r="M48" s="24" t="inlineStr">
        <is>
          <t>Đạt. Quy trình đăng xuất an toàn xóa sạch phiên đăng nhập, bảo vệ thông tin khi dùng máy tính ở phòng máy.</t>
        </is>
      </c>
      <c r="N48" s="24" t="n"/>
      <c r="O48" s="25" t="inlineStr">
        <is>
          <t>Nguyễn Tuấn Minh</t>
        </is>
      </c>
      <c r="P48" s="15" t="inlineStr">
        <is>
          <t>Lần 2 với MySQL</t>
        </is>
      </c>
      <c r="Q48" s="26" t="inlineStr">
        <is>
          <t>Ngày 5</t>
        </is>
      </c>
      <c r="R48" s="15" t="inlineStr">
        <is>
          <t>S1/S2 (cao) - Lỗi ở chức năng chính hoặc bảo mật</t>
        </is>
      </c>
      <c r="S48" s="27" t="inlineStr">
        <is>
          <t>Đã kiểm tra</t>
        </is>
      </c>
      <c r="T48" s="15" t="inlineStr">
        <is>
          <t>Hoàn thành kiểm thử tích hợp, sẵn sàng kiểm thử hệ thống.</t>
        </is>
      </c>
    </row>
    <row r="49" ht="63.6" customHeight="1">
      <c r="A49" s="16" t="n">
        <v>41</v>
      </c>
      <c r="B49" s="17" t="inlineStr">
        <is>
          <t>IT-041</t>
        </is>
      </c>
      <c r="C49" s="18" t="inlineStr">
        <is>
          <t>Trợ lý AI Chatbot: Kết nối API trò chuyện và truyền phát phản hồi trực tiếp dạng SSE</t>
        </is>
      </c>
      <c r="D49" s="18" t="inlineStr">
        <is>
          <t>Kiểm tra endpoint /api/assistant/chat trả về luồng phản hồi từng phần (streaming) qua Text Event Stream</t>
        </is>
      </c>
      <c r="E49" s="18" t="inlineStr">
        <is>
          <t>Khởi chạy Spring Boot Test kèm cấu hình Mock AI Service</t>
        </is>
      </c>
      <c r="F49" s="18" t="inlineStr">
        <is>
          <t>Gửi POST request tới /api/assistant/chat kèm nội dung câu hỏi</t>
        </is>
      </c>
      <c r="G49" s="18" t="inlineStr">
        <is>
          <t>1. Gửi request HTTP POST kèm JSON câu hỏi.
2. Lắng nghe phản hồi từ máy chủ.
3. Kiểm tra định dạng Content-Type và các mẩu tin streaming nhận được.</t>
        </is>
      </c>
      <c r="H49" s="18" t="inlineStr">
        <is>
          <t>HTTP 200; Content-Type là text/event-stream; các gói tin trả về liên tục không bị gián đoạn.</t>
        </is>
      </c>
      <c r="I49" s="16" t="inlineStr">
        <is>
          <t>P0</t>
        </is>
      </c>
      <c r="J49" s="16" t="inlineStr">
        <is>
          <t>S08 / R02</t>
        </is>
      </c>
      <c r="K49" s="21" t="inlineStr">
        <is>
          <t>Trần Trung Hiếu</t>
        </is>
      </c>
      <c r="L49" s="23" t="inlineStr">
        <is>
          <t>Đạt</t>
        </is>
      </c>
      <c r="M49" s="24" t="inlineStr">
        <is>
          <t>Đạt. Endpoint truyền phát streaming phản hồi mượt mà qua giao thức SSE.</t>
        </is>
      </c>
      <c r="N49" s="24" t="n"/>
      <c r="O49" s="25" t="inlineStr">
        <is>
          <t>Nguyễn Tuấn Minh</t>
        </is>
      </c>
      <c r="P49" s="15" t="inlineStr">
        <is>
          <t>Lần đầu</t>
        </is>
      </c>
      <c r="Q49" s="26" t="inlineStr">
        <is>
          <t>Ngày 6</t>
        </is>
      </c>
      <c r="R49" s="15" t="inlineStr">
        <is>
          <t>S1/S2 (cao) - Lỗi ở chức năng chính hoặc bảo mật</t>
        </is>
      </c>
      <c r="S49" s="27" t="inlineStr">
        <is>
          <t>Đã kiểm tra</t>
        </is>
      </c>
      <c r="T49" s="15" t="inlineStr">
        <is>
          <t>Hoàn thành kiểm thử tích hợp, sẵn sàng kiểm thử hệ thống.</t>
        </is>
      </c>
    </row>
    <row r="50" ht="63.6" customHeight="1">
      <c r="A50" s="16" t="n">
        <v>42</v>
      </c>
      <c r="B50" s="17" t="inlineStr">
        <is>
          <t>IT-042</t>
        </is>
      </c>
      <c r="C50" s="18" t="inlineStr">
        <is>
          <t>Trợ lý AI Chatbot: Tự động khởi tạo phiên hội thoại mới khi gửi yêu cầu không có session ID</t>
        </is>
      </c>
      <c r="D50" s="18" t="inlineStr">
        <is>
          <t>Đảm bảo hệ thống tự động sinh sessionId duy nhất và lưu vào cơ sở dữ liệu nếu client chưa có session</t>
        </is>
      </c>
      <c r="E50" s="18" t="inlineStr">
        <is>
          <t>Client gửi request với sessionId rỗng hoặc null</t>
        </is>
      </c>
      <c r="F50" s="18" t="inlineStr">
        <is>
          <t>Câu hỏi đầu tiên của sinh viên: 'Giáo trình này gồm mấy chương?'</t>
        </is>
      </c>
      <c r="G50" s="18" t="inlineStr">
        <is>
          <t>1. Gửi POST tới /api/assistant/chat không kèm session.
2. Kiểm tra header hoặc JSON trả về.
3. Truy vấn bảng chat_sessions trong CSDL.</t>
        </is>
      </c>
      <c r="H50" s="18" t="inlineStr">
        <is>
          <t>Phản hồi trả về sessionId mới; trong CSDL tạo thành công bản ghi phiên chat gắn với User hiện tại.</t>
        </is>
      </c>
      <c r="I50" s="16" t="inlineStr">
        <is>
          <t>P0</t>
        </is>
      </c>
      <c r="J50" s="16" t="inlineStr">
        <is>
          <t>S08 / R02</t>
        </is>
      </c>
      <c r="K50" s="21" t="inlineStr">
        <is>
          <t>Trần Trung Hiếu</t>
        </is>
      </c>
      <c r="L50" s="23" t="inlineStr">
        <is>
          <t>Đạt</t>
        </is>
      </c>
      <c r="M50" s="24" t="inlineStr">
        <is>
          <t>Đạt. Phiên hội thoại mới được khởi tạo và lưu trữ chuẩn xác.</t>
        </is>
      </c>
      <c r="N50" s="24" t="n"/>
      <c r="O50" s="25" t="inlineStr">
        <is>
          <t>Nguyễn Tuấn Minh</t>
        </is>
      </c>
      <c r="P50" s="15" t="inlineStr">
        <is>
          <t>Lần đầu</t>
        </is>
      </c>
      <c r="Q50" s="26" t="inlineStr">
        <is>
          <t>Ngày 6</t>
        </is>
      </c>
      <c r="R50" s="15" t="inlineStr">
        <is>
          <t>S1/S2 (cao) - Lỗi ở chức năng chính hoặc bảo mật</t>
        </is>
      </c>
      <c r="S50" s="27" t="inlineStr">
        <is>
          <t>Đã kiểm tra</t>
        </is>
      </c>
      <c r="T50" s="15" t="inlineStr">
        <is>
          <t>Hoàn thành kiểm thử tích hợp, sẵn sàng kiểm thử hệ thống.</t>
        </is>
      </c>
    </row>
    <row r="51" ht="63.6" customHeight="1">
      <c r="A51" s="16" t="n">
        <v>43</v>
      </c>
      <c r="B51" s="17" t="inlineStr">
        <is>
          <t>IT-043</t>
        </is>
      </c>
      <c r="C51" s="18" t="inlineStr">
        <is>
          <t>Trợ lý AI Chatbot: Tải lại toàn bộ lịch sử tin nhắn của phiên chat theo đúng quyền sở hữu</t>
        </is>
      </c>
      <c r="D51" s="18" t="inlineStr">
        <is>
          <t>Đảm bảo chỉ người dùng tạo phiên chat mới có thể truy vấn lịch sử tin nhắn của phiên đó</t>
        </is>
      </c>
      <c r="E51" s="18" t="inlineStr">
        <is>
          <t>Người dùng A có phiên chat chứa 6 tin nhắn hỏi đáp</t>
        </is>
      </c>
      <c r="F51" s="18" t="inlineStr">
        <is>
          <t>Người dùng B cố tình gửi GET tới /api/assistant/sessions/{sessionA_Id}/messages</t>
        </is>
      </c>
      <c r="G51" s="18" t="inlineStr">
        <is>
          <t>1. Đăng nhập tài khoản B.
2. Gửi request lấy tin nhắn của phiên chat A.
3. Kiểm tra mã trạng thái HTTP.</t>
        </is>
      </c>
      <c r="H51" s="18" t="inlineStr">
        <is>
          <t>HTTP 403 Forbidden; bảo vệ an toàn quyền riêng tư lịch sử hỏi đáp của từng người dùng.</t>
        </is>
      </c>
      <c r="I51" s="16" t="inlineStr">
        <is>
          <t>P0</t>
        </is>
      </c>
      <c r="J51" s="16" t="inlineStr">
        <is>
          <t>S08 / R01</t>
        </is>
      </c>
      <c r="K51" s="21" t="inlineStr">
        <is>
          <t>Trần Trung Hiếu</t>
        </is>
      </c>
      <c r="L51" s="23" t="inlineStr">
        <is>
          <t>Đạt</t>
        </is>
      </c>
      <c r="M51" s="24" t="inlineStr">
        <is>
          <t>Đạt. Cơ chế phân quyền lịch sử tin nhắn bảo vệ tuyệt đối dữ liệu người học.</t>
        </is>
      </c>
      <c r="N51" s="24" t="n"/>
      <c r="O51" s="25" t="inlineStr">
        <is>
          <t>Nguyễn Tuấn Minh</t>
        </is>
      </c>
      <c r="P51" s="15" t="inlineStr">
        <is>
          <t>Lần đầu</t>
        </is>
      </c>
      <c r="Q51" s="26" t="inlineStr">
        <is>
          <t>Ngày 6</t>
        </is>
      </c>
      <c r="R51" s="15" t="inlineStr">
        <is>
          <t>S1/S2 (cao) - Lỗi ở chức năng chính hoặc bảo mật</t>
        </is>
      </c>
      <c r="S51" s="27" t="inlineStr">
        <is>
          <t>Đã kiểm tra</t>
        </is>
      </c>
      <c r="T51" s="15" t="inlineStr">
        <is>
          <t>Hoàn thành kiểm thử tích hợp, sẵn sàng kiểm thử hệ thống.</t>
        </is>
      </c>
    </row>
    <row r="52" ht="63.6" customHeight="1">
      <c r="A52" s="16" t="n">
        <v>44</v>
      </c>
      <c r="B52" s="17" t="inlineStr">
        <is>
          <t>IT-044</t>
        </is>
      </c>
      <c r="C52" s="18" t="inlineStr">
        <is>
          <t>Trợ lý AI Chatbot: Gửi đánh giá phản hồi Upvote/Downvote và cập nhật vào cơ sở dữ liệu</t>
        </is>
      </c>
      <c r="D52" s="18" t="inlineStr">
        <is>
          <t>Đảm bảo API /api/assistant/feedback tiếp nhận đánh giá và ghi nhận chính xác vào bảng document_feedbacks</t>
        </is>
      </c>
      <c r="E52" s="18" t="inlineStr">
        <is>
          <t>Tin nhắn AI đã sinh ra trong DB có ID hợp lệ</t>
        </is>
      </c>
      <c r="F52" s="18" t="inlineStr">
        <is>
          <t>Request JSON: '{"messageId": 10, "helpful": true, "comment": "Tốt"}'</t>
        </is>
      </c>
      <c r="G52" s="18" t="inlineStr">
        <is>
          <t>1. Gửi POST tới /api/assistant/feedback.
2. Kiểm tra mã phản hồi HTTP.
3. Truy vấn CSDL để đối chiếu bản ghi.</t>
        </is>
      </c>
      <c r="H52" s="18" t="inlineStr">
        <is>
          <t>HTTP 200 OK; bản ghi mới xuất hiện trong bảng document_feedbacks với đầy đủ thông tin chi tiết.</t>
        </is>
      </c>
      <c r="I52" s="16" t="inlineStr">
        <is>
          <t>P1</t>
        </is>
      </c>
      <c r="J52" s="16" t="inlineStr">
        <is>
          <t>S08 / R03</t>
        </is>
      </c>
      <c r="K52" s="21" t="inlineStr">
        <is>
          <t>Trần Trung Hiếu</t>
        </is>
      </c>
      <c r="L52" s="23" t="inlineStr">
        <is>
          <t>Đạt</t>
        </is>
      </c>
      <c r="M52" s="24" t="inlineStr">
        <is>
          <t>Đạt. Endpoint thu thập đánh giá phản hồi lưu trữ CSDL thành công.</t>
        </is>
      </c>
      <c r="N52" s="24" t="n"/>
      <c r="O52" s="25" t="inlineStr">
        <is>
          <t>Nguyễn Tuấn Minh</t>
        </is>
      </c>
      <c r="P52" s="15" t="inlineStr">
        <is>
          <t>Lần đầu</t>
        </is>
      </c>
      <c r="Q52" s="26" t="inlineStr">
        <is>
          <t>Ngày 6</t>
        </is>
      </c>
      <c r="R52" s="15" t="inlineStr">
        <is>
          <t>S2/S3 (vừa) - Lỗi ảnh hưởng trải nghiệm hoặc hiệu năng</t>
        </is>
      </c>
      <c r="S52" s="27" t="inlineStr">
        <is>
          <t>Đã kiểm tra</t>
        </is>
      </c>
      <c r="T52" s="15" t="inlineStr">
        <is>
          <t>Hoàn thành kiểm thử tích hợp, sẵn sàng kiểm thử hệ thống.</t>
        </is>
      </c>
    </row>
    <row r="53" ht="63.6" customHeight="1">
      <c r="A53" s="16" t="n">
        <v>45</v>
      </c>
      <c r="B53" s="17" t="inlineStr">
        <is>
          <t>IT-045</t>
        </is>
      </c>
      <c r="C53" s="18" t="inlineStr">
        <is>
          <t>Bảo mật &amp; Tần suất: Chặn đứng tấn công gửi tin nhắn dồn dập với mã HTTP 429 Too Many Requests</t>
        </is>
      </c>
      <c r="D53" s="18" t="inlineStr">
        <is>
          <t>Kiểm tra bộ lọc Rate Limiter chặn các request vượt quá ngưỡng cho phép trong khoảng thời gian ngắn</t>
        </is>
      </c>
      <c r="E53" s="18" t="inlineStr">
        <is>
          <t>Khởi tạo kịch bản gửi 15 request liên tục trong vòng 5 giây từ cùng một phiên làm việc</t>
        </is>
      </c>
      <c r="F53" s="18" t="inlineStr">
        <is>
          <t>Request hỏi đáp chat AI liên tiếp</t>
        </is>
      </c>
      <c r="G53" s="18" t="inlineStr">
        <is>
          <t>1. Thực thi vòng lặp gửi liên tục 15 request.
2. Ghi nhận mã phản hồi của từng request.</t>
        </is>
      </c>
      <c r="H53" s="18" t="inlineStr">
        <is>
          <t>10 request đầu tiên trả về HTTP 200; từ request thứ 11 trở đi trả về HTTP 429 kèm thông báo giới hạn tốc độ.</t>
        </is>
      </c>
      <c r="I53" s="16" t="inlineStr">
        <is>
          <t>P0</t>
        </is>
      </c>
      <c r="J53" s="16" t="inlineStr">
        <is>
          <t>S08 / R01</t>
        </is>
      </c>
      <c r="K53" s="21" t="inlineStr">
        <is>
          <t>Trần Trung Hiếu</t>
        </is>
      </c>
      <c r="L53" s="23" t="inlineStr">
        <is>
          <t>Đạt</t>
        </is>
      </c>
      <c r="M53" s="24" t="inlineStr">
        <is>
          <t>Đạt. Lớp DocumentAssistantRateLimiterTest bảo vệ thành công trước tấn công dồn dập.</t>
        </is>
      </c>
      <c r="N53" s="24" t="n"/>
      <c r="O53" s="25" t="inlineStr">
        <is>
          <t>Nguyễn Tuấn Minh</t>
        </is>
      </c>
      <c r="P53" s="15" t="inlineStr">
        <is>
          <t>Lần đầu</t>
        </is>
      </c>
      <c r="Q53" s="26" t="inlineStr">
        <is>
          <t>Ngày 6</t>
        </is>
      </c>
      <c r="R53" s="15" t="inlineStr">
        <is>
          <t>S1/S2 (cao) - Lỗi ở chức năng chính hoặc bảo mật</t>
        </is>
      </c>
      <c r="S53" s="27" t="inlineStr">
        <is>
          <t>Đã kiểm tra</t>
        </is>
      </c>
      <c r="T53" s="15" t="inlineStr">
        <is>
          <t>Hoàn thành kiểm thử tích hợp, sẵn sàng kiểm thử hệ thống.</t>
        </is>
      </c>
    </row>
    <row r="54" ht="63.6" customHeight="1">
      <c r="A54" s="16" t="n">
        <v>46</v>
      </c>
      <c r="B54" s="17" t="inlineStr">
        <is>
          <t>IT-046</t>
        </is>
      </c>
      <c r="C54" s="18" t="inlineStr">
        <is>
          <t>Xử lý học liệu RAG: Kích hoạt tiến trình nạp tệp ngầm bất đồng bộ sau khi tải lên thành công</t>
        </is>
      </c>
      <c r="D54" s="18" t="inlineStr">
        <is>
          <t>Đảm bảo sau khi tải tệp PDF lên, Spring kích hoạt tác vụ @Async xử lý cắt chunk và tạo vector mà không làm treo UI</t>
        </is>
      </c>
      <c r="E54" s="18" t="inlineStr">
        <is>
          <t>Tài khoản Submitter tải lên tệp giáo trình PDF 10 trang</t>
        </is>
      </c>
      <c r="F54" s="18" t="inlineStr">
        <is>
          <t>Tệp PDF mẫu hoàn chỉnh</t>
        </is>
      </c>
      <c r="G54" s="18" t="inlineStr">
        <is>
          <t>1. Gửi request multipart tải tệp lên.
2. Kiểm tra response trả về ngay lập tức.
3. Kiểm tra tiến trình ngầm tiếp tục cập nhật trạng thái trong CSDL.</t>
        </is>
      </c>
      <c r="H54" s="18" t="inlineStr">
        <is>
          <t>HTTP 200 trả về ngay lập tức cho người dùng; tiến trình ngầm chạy thành công và chuyển trạng thái sang INDEXED.</t>
        </is>
      </c>
      <c r="I54" s="16" t="inlineStr">
        <is>
          <t>P0</t>
        </is>
      </c>
      <c r="J54" s="16" t="inlineStr">
        <is>
          <t>S08 / R02</t>
        </is>
      </c>
      <c r="K54" s="21" t="inlineStr">
        <is>
          <t>Trần Trung Hiếu</t>
        </is>
      </c>
      <c r="L54" s="23" t="inlineStr">
        <is>
          <t>Đạt</t>
        </is>
      </c>
      <c r="M54" s="24" t="inlineStr">
        <is>
          <t>Đạt. Tác vụ nạp tệp bất đồng bộ chạy mượt mà, không gây nghẽn luồng xử lý web.</t>
        </is>
      </c>
      <c r="N54" s="24" t="n"/>
      <c r="O54" s="25" t="inlineStr">
        <is>
          <t>Nguyễn Tuấn Minh</t>
        </is>
      </c>
      <c r="P54" s="15" t="inlineStr">
        <is>
          <t>Lần đầu</t>
        </is>
      </c>
      <c r="Q54" s="26" t="inlineStr">
        <is>
          <t>Ngày 6</t>
        </is>
      </c>
      <c r="R54" s="15" t="inlineStr">
        <is>
          <t>S1/S2 (cao) - Lỗi ở chức năng chính hoặc bảo mật</t>
        </is>
      </c>
      <c r="S54" s="27" t="inlineStr">
        <is>
          <t>Đã kiểm tra</t>
        </is>
      </c>
      <c r="T54" s="15" t="inlineStr">
        <is>
          <t>Hoàn thành kiểm thử tích hợp, sẵn sàng kiểm thử hệ thống.</t>
        </is>
      </c>
    </row>
    <row r="55" ht="63.6" customHeight="1">
      <c r="A55" s="16" t="n">
        <v>47</v>
      </c>
      <c r="B55" s="17" t="inlineStr">
        <is>
          <t>IT-047</t>
        </is>
      </c>
      <c r="C55" s="18" t="inlineStr">
        <is>
          <t>Xử lý học liệu RAG: Tự động khôi phục giao dịch (Rollback) khi quá trình lưu vector gặp sự cố</t>
        </is>
      </c>
      <c r="D55" s="18" t="inlineStr">
        <is>
          <t>Đảm bảo tính toàn vẹn dữ liệu: nếu bước lưu vector vào DB thất bại, toàn bộ thao tác trước đó phải rollback sạch sẽ</t>
        </is>
      </c>
      <c r="E55" s="18" t="inlineStr">
        <is>
          <t>Giả lập lỗi ngắt kết nối CSDL ở bước lưu vector cuối cùng</t>
        </is>
      </c>
      <c r="F55" s="18" t="inlineStr">
        <is>
          <t>Tệp tài liệu đang trong tiến trình xử lý</t>
        </is>
      </c>
      <c r="G55" s="18" t="inlineStr">
        <is>
          <t>1. Kích hoạt tiến trình nạp tệp.
2. Kích hoạt lỗi giả lập tại bước lưu DB.
3. Kiểm tra trạng thái dữ liệu trong bảng documents và document_chunks.</t>
        </is>
      </c>
      <c r="H55" s="18" t="inlineStr">
        <is>
          <t>Giao dịch được rollback hoàn toàn; không để lại dữ liệu rác mồ côi trong cơ sở dữ liệu.</t>
        </is>
      </c>
      <c r="I55" s="16" t="inlineStr">
        <is>
          <t>P0</t>
        </is>
      </c>
      <c r="J55" s="16" t="inlineStr">
        <is>
          <t>S08 / R01</t>
        </is>
      </c>
      <c r="K55" s="21" t="inlineStr">
        <is>
          <t>Nguyễn Tuấn Minh</t>
        </is>
      </c>
      <c r="L55" s="23" t="inlineStr">
        <is>
          <t>Đạt</t>
        </is>
      </c>
      <c r="M55" s="24" t="inlineStr">
        <is>
          <t>Đạt. Tính toàn vẹn giao dịch ACID được bảo toàn trọn vẹn.</t>
        </is>
      </c>
      <c r="N55" s="24" t="n"/>
      <c r="O55" s="25" t="inlineStr">
        <is>
          <t>Nguyễn Huy Hải</t>
        </is>
      </c>
      <c r="P55" s="15" t="inlineStr">
        <is>
          <t>Lần đầu</t>
        </is>
      </c>
      <c r="Q55" s="26" t="inlineStr">
        <is>
          <t>Ngày 6</t>
        </is>
      </c>
      <c r="R55" s="15" t="inlineStr">
        <is>
          <t>S1/S2 (cao) - Lỗi ở chức năng chính hoặc bảo mật</t>
        </is>
      </c>
      <c r="S55" s="27" t="inlineStr">
        <is>
          <t>Đã kiểm tra</t>
        </is>
      </c>
      <c r="T55" s="15" t="inlineStr">
        <is>
          <t>Hoàn thành kiểm thử tích hợp, sẵn sàng kiểm thử hệ thống.</t>
        </is>
      </c>
    </row>
    <row r="56" ht="63.6" customHeight="1">
      <c r="A56" s="16" t="n">
        <v>48</v>
      </c>
      <c r="B56" s="17" t="inlineStr">
        <is>
          <t>IT-048</t>
        </is>
      </c>
      <c r="C56" s="18" t="inlineStr">
        <is>
          <t>Truy xuất RAG: Tích hợp tìm kiếm lai (Hybrid Search) kết hợp Fulltext và Vector Search</t>
        </is>
      </c>
      <c r="D56" s="18" t="inlineStr">
        <is>
          <t>Đảm bảo RetrievalService kết hợp kết quả từ chỉ mục văn bản MySQL và điểm tương đồng vector</t>
        </is>
      </c>
      <c r="E56" s="18" t="inlineStr">
        <is>
          <t>Kho dữ liệu đã nạp sẵn 50 chunk tài liệu môn Lập trình Web</t>
        </is>
      </c>
      <c r="F56" s="18" t="inlineStr">
        <is>
          <t>Câu truy vấn tìm kiếm: 'Cấu hình Spring Security với JWT'</t>
        </is>
      </c>
      <c r="G56" s="18" t="inlineStr">
        <is>
          <t>1. Gọi hàm retrievalService.searchHybrid().
2. Đánh giá danh sách kết quả trả về.</t>
        </is>
      </c>
      <c r="H56" s="18" t="inlineStr">
        <is>
          <t>Kết hợp mượt mà cả kết quả khớp từ khóa chính xác và ngữ nghĩa tương đồng; độ chính xác cải thiện rõ rệt.</t>
        </is>
      </c>
      <c r="I56" s="16" t="inlineStr">
        <is>
          <t>P0</t>
        </is>
      </c>
      <c r="J56" s="16" t="inlineStr">
        <is>
          <t>S08 / R02</t>
        </is>
      </c>
      <c r="K56" s="21" t="inlineStr">
        <is>
          <t>Nguyễn Tuấn Minh</t>
        </is>
      </c>
      <c r="L56" s="23" t="inlineStr">
        <is>
          <t>Đạt</t>
        </is>
      </c>
      <c r="M56" s="24" t="inlineStr">
        <is>
          <t>Đạt. Lớp RetrievalServiceTest kiểm tra cơ chế tìm kiếm lai đạt hiệu quả cao.</t>
        </is>
      </c>
      <c r="N56" s="24" t="n"/>
      <c r="O56" s="25" t="inlineStr">
        <is>
          <t>Nguyễn Huy Hải</t>
        </is>
      </c>
      <c r="P56" s="15" t="inlineStr">
        <is>
          <t>Lần đầu</t>
        </is>
      </c>
      <c r="Q56" s="26" t="inlineStr">
        <is>
          <t>Ngày 6</t>
        </is>
      </c>
      <c r="R56" s="15" t="inlineStr">
        <is>
          <t>S1/S2 (cao) - Lỗi ở chức năng chính hoặc bảo mật</t>
        </is>
      </c>
      <c r="S56" s="27" t="inlineStr">
        <is>
          <t>Đã kiểm tra</t>
        </is>
      </c>
      <c r="T56" s="15" t="inlineStr">
        <is>
          <t>Hoàn thành kiểm thử tích hợp, sẵn sàng kiểm thử hệ thống.</t>
        </is>
      </c>
    </row>
    <row r="57" ht="63.6" customHeight="1">
      <c r="A57" s="16" t="n">
        <v>49</v>
      </c>
      <c r="B57" s="17" t="inlineStr">
        <is>
          <t>IT-049</t>
        </is>
      </c>
      <c r="C57" s="18" t="inlineStr">
        <is>
          <t>Truy xuất RAG: Cơ chế phản hồi dự phòng trực tiếp từ LLM khi tài liệu không chứa thông tin cần tìm</t>
        </is>
      </c>
      <c r="D57" s="18" t="inlineStr">
        <is>
          <t>Đảm bảo khi điểm tương đồng vector dưới ngưỡng, hệ thống thông báo rõ cho người dùng hoặc dùng kiến thức nền tảng</t>
        </is>
      </c>
      <c r="E57" s="18" t="inlineStr">
        <is>
          <t>Tài liệu giáo trình Toán cao cấp</t>
        </is>
      </c>
      <c r="F57" s="18" t="inlineStr">
        <is>
          <t>Câu hỏi không liên quan: 'Công thức nấu món phở bò Hà Nội'</t>
        </is>
      </c>
      <c r="G57" s="18" t="inlineStr">
        <is>
          <t>1. Gửi câu hỏi vào API hỏi đáp của tài liệu Toán.
2. Quan sát nội dung câu trả lời của AI.</t>
        </is>
      </c>
      <c r="H57" s="18" t="inlineStr">
        <is>
          <t>AI phản hồi lịch sự: Tài liệu không chứa thông tin về câu hỏi này; không bịa đặt hoặc suy diễn sai lệch.</t>
        </is>
      </c>
      <c r="I57" s="16" t="inlineStr">
        <is>
          <t>P1</t>
        </is>
      </c>
      <c r="J57" s="16" t="inlineStr">
        <is>
          <t>S08 / R02</t>
        </is>
      </c>
      <c r="K57" s="21" t="inlineStr">
        <is>
          <t>Nguyễn Tuấn Minh</t>
        </is>
      </c>
      <c r="L57" s="23" t="inlineStr">
        <is>
          <t>Đạt</t>
        </is>
      </c>
      <c r="M57" s="24" t="inlineStr">
        <is>
          <t>Đạt. Khả năng kiểm soát hallucination hoạt động đúng như thiết kế.</t>
        </is>
      </c>
      <c r="N57" s="24" t="n"/>
      <c r="O57" s="25" t="inlineStr">
        <is>
          <t>Nguyễn Huy Hải</t>
        </is>
      </c>
      <c r="P57" s="15" t="inlineStr">
        <is>
          <t>Lần đầu</t>
        </is>
      </c>
      <c r="Q57" s="26" t="inlineStr">
        <is>
          <t>Ngày 6</t>
        </is>
      </c>
      <c r="R57" s="15" t="inlineStr">
        <is>
          <t>S2/S3 (vừa) - Lỗi ảnh hưởng trải nghiệm hoặc hiệu năng</t>
        </is>
      </c>
      <c r="S57" s="27" t="inlineStr">
        <is>
          <t>Đã kiểm tra</t>
        </is>
      </c>
      <c r="T57" s="15" t="inlineStr">
        <is>
          <t>Hoàn thành kiểm thử tích hợp, sẵn sàng kiểm thử hệ thống.</t>
        </is>
      </c>
    </row>
    <row r="58" ht="63.6" customHeight="1">
      <c r="A58" s="16" t="n">
        <v>50</v>
      </c>
      <c r="B58" s="17" t="inlineStr">
        <is>
          <t>IT-050</t>
        </is>
      </c>
      <c r="C58" s="18" t="inlineStr">
        <is>
          <t>Kiểm thử hồi quy Backend: Quét toàn bộ các endpoint công khai đảm bảo không phát sinh lỗi 500</t>
        </is>
      </c>
      <c r="D58" s="18" t="inlineStr">
        <is>
          <t>Chạy bộ kiểm thử tự động BackendRegressionTest duyệt qua tất cả URL chính của hệ thống</t>
        </is>
      </c>
      <c r="E58" s="18" t="inlineStr">
        <is>
          <t>Môi trường Spring Boot Test MockMvc</t>
        </is>
      </c>
      <c r="F58" s="18" t="inlineStr">
        <is>
          <t>Danh sách 18 URL công khai: /, /documents, /about, /contact, /login, /register...</t>
        </is>
      </c>
      <c r="G58" s="18" t="inlineStr">
        <is>
          <t>1. Thực thi toàn bộ class BackendRegressionTest.
2. Kiểm tra mã phản hồi của tất cả request.</t>
        </is>
      </c>
      <c r="H58" s="18" t="inlineStr">
        <is>
          <t>Tất cả endpoint trả về mã HTTP 200 thành công; không có bất kỳ trang nào bị lỗi sập máy chủ 500.</t>
        </is>
      </c>
      <c r="I58" s="16" t="inlineStr">
        <is>
          <t>P0</t>
        </is>
      </c>
      <c r="J58" s="16" t="inlineStr">
        <is>
          <t>S00 / R01</t>
        </is>
      </c>
      <c r="K58" s="21" t="inlineStr">
        <is>
          <t>Nguyễn Tuấn Minh</t>
        </is>
      </c>
      <c r="L58" s="23" t="inlineStr">
        <is>
          <t>Đạt</t>
        </is>
      </c>
      <c r="M58" s="24" t="inlineStr">
        <is>
          <t>Đạt. Lớp BackendRegressionTest chạy thành công 16/16 bài kiểm tra hồi quy.</t>
        </is>
      </c>
      <c r="N58" s="24" t="n"/>
      <c r="O58" s="25" t="inlineStr">
        <is>
          <t>Nguyễn Huy Hải</t>
        </is>
      </c>
      <c r="P58" s="15" t="inlineStr">
        <is>
          <t>Lần đầu</t>
        </is>
      </c>
      <c r="Q58" s="26" t="inlineStr">
        <is>
          <t>Ngày 6</t>
        </is>
      </c>
      <c r="R58" s="15" t="inlineStr">
        <is>
          <t>S1/S2 (cao) - Lỗi ở chức năng chính hoặc bảo mật</t>
        </is>
      </c>
      <c r="S58" s="27" t="inlineStr">
        <is>
          <t>Đã kiểm tra</t>
        </is>
      </c>
      <c r="T58" s="15" t="inlineStr">
        <is>
          <t>Hoàn thành kiểm thử tích hợp, sẵn sàng kiểm thử hệ thống.</t>
        </is>
      </c>
    </row>
    <row r="59" ht="63.6" customHeight="1">
      <c r="A59" s="16" t="n">
        <v>51</v>
      </c>
      <c r="B59" s="17" t="inlineStr">
        <is>
          <t>IT-051</t>
        </is>
      </c>
      <c r="C59" s="18" t="inlineStr">
        <is>
          <t>Kiểm thử hồi quy bảo mật: Xác thực các bản vá bảo mật trước các lỗ hổng XSS, CSRF và IDOR</t>
        </is>
      </c>
      <c r="D59" s="18" t="inlineStr">
        <is>
          <t>Chạy bộ kiểm thử AuditFixRegressionTest xác minh các vị trí từng được kiểm toán an ninh</t>
        </is>
      </c>
      <c r="E59" s="18" t="inlineStr">
        <is>
          <t>Môi trường kiểm thử bảo mật chuyên dụng</t>
        </is>
      </c>
      <c r="F59" s="18" t="inlineStr">
        <is>
          <t>Payload kiểm thử tiêm mã JavaScript, yêu cầu thiếu CSRF token, truy cập tài nguyên của User khác</t>
        </is>
      </c>
      <c r="G59" s="18" t="inlineStr">
        <is>
          <t>1. Thực thi toàn bộ class AuditFixRegressionTest.
2. Ghi nhận kết quả xử lý của Spring Security.</t>
        </is>
      </c>
      <c r="H59" s="18" t="inlineStr">
        <is>
          <t>Toàn bộ payload độc hại bị lọc sạch hoặc chặn đứng 403; 13/13 bài test kiểm toán an ninh đều Đạt.</t>
        </is>
      </c>
      <c r="I59" s="16" t="inlineStr">
        <is>
          <t>P0</t>
        </is>
      </c>
      <c r="J59" s="16" t="inlineStr">
        <is>
          <t>S01 / R01</t>
        </is>
      </c>
      <c r="K59" s="21" t="inlineStr">
        <is>
          <t>Nguyễn Tuấn Minh</t>
        </is>
      </c>
      <c r="L59" s="23" t="inlineStr">
        <is>
          <t>Đạt</t>
        </is>
      </c>
      <c r="M59" s="24" t="inlineStr">
        <is>
          <t>Đạt. Lớp AuditFixRegressionTest vượt qua toàn bộ 13 bài kiểm thử an ninh.</t>
        </is>
      </c>
      <c r="N59" s="24" t="n"/>
      <c r="O59" s="25" t="inlineStr">
        <is>
          <t>Nguyễn Huy Hải</t>
        </is>
      </c>
      <c r="P59" s="15" t="inlineStr">
        <is>
          <t>Lần đầu</t>
        </is>
      </c>
      <c r="Q59" s="26" t="inlineStr">
        <is>
          <t>Ngày 6</t>
        </is>
      </c>
      <c r="R59" s="15" t="inlineStr">
        <is>
          <t>S1/S2 (cao) - Lỗi ở chức năng chính hoặc bảo mật</t>
        </is>
      </c>
      <c r="S59" s="27" t="inlineStr">
        <is>
          <t>Đã kiểm tra</t>
        </is>
      </c>
      <c r="T59" s="15" t="inlineStr">
        <is>
          <t>Hoàn thành kiểm thử tích hợp, sẵn sàng kiểm thử hệ thống.</t>
        </is>
      </c>
    </row>
    <row r="60" ht="63.6" customHeight="1">
      <c r="A60" s="16" t="n">
        <v>52</v>
      </c>
      <c r="B60" s="17" t="inlineStr">
        <is>
          <t>IT-052</t>
        </is>
      </c>
      <c r="C60" s="18" t="inlineStr">
        <is>
          <t>Tích hợp phản hồi học liệu: Sinh viên gửi nhận xét kèm đánh giá sao cho tài liệu đã xuất bản</t>
        </is>
      </c>
      <c r="D60" s="18" t="inlineStr">
        <is>
          <t>Đảm bảo DocumentFeedbackIntegrationTest kiểm tra đầy đủ tương tác đánh giá giữa sinh viên và tài liệu</t>
        </is>
      </c>
      <c r="E60" s="18" t="inlineStr">
        <is>
          <t>Tài liệu trạng thái PUBLISHED</t>
        </is>
      </c>
      <c r="F60" s="18" t="inlineStr">
        <is>
          <t>Đánh giá 5 sao kèm bình luận 'Tài liệu giải thích rất dễ hiểu'</t>
        </is>
      </c>
      <c r="G60" s="18" t="inlineStr">
        <is>
          <t>1. Gửi POST tới endpoint đánh giá tài liệu.
2. Kiểm tra điểm trung bình của tài liệu được cập nhật lại.</t>
        </is>
      </c>
      <c r="H60" s="18" t="inlineStr">
        <is>
          <t>HTTP 200; điểm đánh giá trung bình của tài liệu được tính toán lại chính xác và hiển thị lên giao diện.</t>
        </is>
      </c>
      <c r="I60" s="16" t="inlineStr">
        <is>
          <t>P1</t>
        </is>
      </c>
      <c r="J60" s="16" t="inlineStr">
        <is>
          <t>S07 / R02</t>
        </is>
      </c>
      <c r="K60" s="21" t="inlineStr">
        <is>
          <t>Nguyễn Tuấn Minh</t>
        </is>
      </c>
      <c r="L60" s="23" t="inlineStr">
        <is>
          <t>Đạt</t>
        </is>
      </c>
      <c r="M60" s="24" t="inlineStr">
        <is>
          <t>Đạt. Lớp DocumentFeedbackIntegrationTest chạy thành công 11/11 bài test.</t>
        </is>
      </c>
      <c r="N60" s="24" t="n"/>
      <c r="O60" s="25" t="inlineStr">
        <is>
          <t>Nguyễn Huy Hải</t>
        </is>
      </c>
      <c r="P60" s="15" t="inlineStr">
        <is>
          <t>Lần đầu</t>
        </is>
      </c>
      <c r="Q60" s="26" t="inlineStr">
        <is>
          <t>Ngày 6</t>
        </is>
      </c>
      <c r="R60" s="15" t="inlineStr">
        <is>
          <t>S2/S3 (vừa) - Lỗi ảnh hưởng trải nghiệm hoặc hiệu năng</t>
        </is>
      </c>
      <c r="S60" s="27" t="inlineStr">
        <is>
          <t>Đã kiểm tra</t>
        </is>
      </c>
      <c r="T60" s="15" t="inlineStr">
        <is>
          <t>Hoàn thành kiểm thử tích hợp, sẵn sàng kiểm thử hệ thống.</t>
        </is>
      </c>
    </row>
    <row r="61" ht="63.6" customHeight="1">
      <c r="A61" s="16" t="n">
        <v>53</v>
      </c>
      <c r="B61" s="17" t="inlineStr">
        <is>
          <t>IT-053</t>
        </is>
      </c>
      <c r="C61" s="18" t="inlineStr">
        <is>
          <t>Hồ sơ người dùng thời gian thực: Cập nhật thông tin cá nhân và phát sóng cập nhật qua SSE</t>
        </is>
      </c>
      <c r="D61" s="18" t="inlineStr">
        <is>
          <t>Đảm bảo khi người dùng đổi avatar hoặc tên, thông tin mới được phát sóng cập nhật ngay lập tức đến các tab khác</t>
        </is>
      </c>
      <c r="E61" s="18" t="inlineStr">
        <is>
          <t>Mở 2 kết nối SSE từ 2 phiên làm việc của cùng một tài khoản</t>
        </is>
      </c>
      <c r="F61" s="18" t="inlineStr">
        <is>
          <t>Cập nhật họ tên mới 'Trần Trung Hiếu' và avatar mới</t>
        </is>
      </c>
      <c r="G61" s="18" t="inlineStr">
        <is>
          <t>1. Gửi yêu cầu cập nhật hồ sơ cá nhân.
2. Lắng nghe sự kiện nhận được trên kết nối SSE.</t>
        </is>
      </c>
      <c r="H61" s="18" t="inlineStr">
        <is>
          <t>Kết nối SSE nhận sự kiện 'profile_updated' chứa thông tin mới; giao diện tự làm mới avatar mà không cần F5.</t>
        </is>
      </c>
      <c r="I61" s="16" t="inlineStr">
        <is>
          <t>P1</t>
        </is>
      </c>
      <c r="J61" s="16" t="inlineStr">
        <is>
          <t>S09 / R03</t>
        </is>
      </c>
      <c r="K61" s="21" t="inlineStr">
        <is>
          <t>Nguyễn Tuấn Minh</t>
        </is>
      </c>
      <c r="L61" s="23" t="inlineStr">
        <is>
          <t>Đạt</t>
        </is>
      </c>
      <c r="M61" s="24" t="inlineStr">
        <is>
          <t>Đạt. Lớp ProfileRealtimeIntegrationTest chạy thành công 8/8 bài kiểm tra.</t>
        </is>
      </c>
      <c r="N61" s="24" t="n"/>
      <c r="O61" s="25" t="inlineStr">
        <is>
          <t>Nguyễn Huy Hải</t>
        </is>
      </c>
      <c r="P61" s="15" t="inlineStr">
        <is>
          <t>Lần đầu</t>
        </is>
      </c>
      <c r="Q61" s="26" t="inlineStr">
        <is>
          <t>Ngày 6</t>
        </is>
      </c>
      <c r="R61" s="15" t="inlineStr">
        <is>
          <t>S2/S3 (vừa) - Lỗi ảnh hưởng trải nghiệm hoặc hiệu năng</t>
        </is>
      </c>
      <c r="S61" s="27" t="inlineStr">
        <is>
          <t>Đã kiểm tra</t>
        </is>
      </c>
      <c r="T61" s="15" t="inlineStr">
        <is>
          <t>Hoàn thành kiểm thử tích hợp, sẵn sàng kiểm thử hệ thống.</t>
        </is>
      </c>
    </row>
    <row r="62" ht="63.6" customHeight="1">
      <c r="A62" s="16" t="n">
        <v>54</v>
      </c>
      <c r="B62" s="17" t="inlineStr">
        <is>
          <t>IT-054</t>
        </is>
      </c>
      <c r="C62" s="18" t="inlineStr">
        <is>
          <t>Hồ sơ người dùng thời gian thực: Đổi mật khẩu thành công và thông báo đồng bộ phiên làm việc</t>
        </is>
      </c>
      <c r="D62" s="18" t="inlineStr">
        <is>
          <t>Đảm bảo sau khi đổi mật khẩu, hệ thống gửi thông báo bảo mật đến người dùng và cập nhật trạng thái an toàn</t>
        </is>
      </c>
      <c r="E62" s="18" t="inlineStr">
        <is>
          <t>Tài khoản đang đăng nhập trên trình duyệt</t>
        </is>
      </c>
      <c r="F62" s="18" t="inlineStr">
        <is>
          <t>Gửi form đổi mật khẩu với mật khẩu cũ đúng và mật khẩu mới đạt chuẩn</t>
        </is>
      </c>
      <c r="G62" s="18" t="inlineStr">
        <is>
          <t>1. Gửi request đổi mật khẩu.
2. Kiểm tra thông báo nhận được trên kênh thông báo thời gian thực.</t>
        </is>
      </c>
      <c r="H62" s="18" t="inlineStr">
        <is>
          <t>Nhận thông báo 'Mật khẩu đã được thay đổi thành công'; ghi nhận nhật ký đổi mật khẩu vào hệ thống.</t>
        </is>
      </c>
      <c r="I62" s="16" t="inlineStr">
        <is>
          <t>P0</t>
        </is>
      </c>
      <c r="J62" s="16" t="inlineStr">
        <is>
          <t>S01 / R01</t>
        </is>
      </c>
      <c r="K62" s="21" t="inlineStr">
        <is>
          <t>Nguyễn Tuấn Minh</t>
        </is>
      </c>
      <c r="L62" s="23" t="inlineStr">
        <is>
          <t>Đạt</t>
        </is>
      </c>
      <c r="M62" s="24" t="inlineStr">
        <is>
          <t>Đạt. Cơ chế bảo vệ và thông báo đổi mật khẩu tức thời hoạt động chuẩn xác.</t>
        </is>
      </c>
      <c r="N62" s="24" t="n"/>
      <c r="O62" s="25" t="inlineStr">
        <is>
          <t>Nguyễn Huy Hải</t>
        </is>
      </c>
      <c r="P62" s="15" t="inlineStr">
        <is>
          <t>Lần đầu</t>
        </is>
      </c>
      <c r="Q62" s="26" t="inlineStr">
        <is>
          <t>Ngày 6</t>
        </is>
      </c>
      <c r="R62" s="15" t="inlineStr">
        <is>
          <t>S1/S2 (cao) - Lỗi ở chức năng chính hoặc bảo mật</t>
        </is>
      </c>
      <c r="S62" s="27" t="inlineStr">
        <is>
          <t>Đã kiểm tra</t>
        </is>
      </c>
      <c r="T62" s="15" t="inlineStr">
        <is>
          <t>Hoàn thành kiểm thử tích hợp, sẵn sàng kiểm thử hệ thống.</t>
        </is>
      </c>
    </row>
    <row r="63" ht="63.6" customHeight="1">
      <c r="A63" s="16" t="n">
        <v>55</v>
      </c>
      <c r="B63" s="17" t="inlineStr">
        <is>
          <t>IT-055</t>
        </is>
      </c>
      <c r="C63" s="18" t="inlineStr">
        <is>
          <t>Tích hợp thông báo quản trị: Tự động sinh thông báo khi Quản trị viên phê duyệt hoặc từ chối bài</t>
        </is>
      </c>
      <c r="D63" s="18" t="inlineStr">
        <is>
          <t>Đảm bảo AdminNotificationIntegrationTest kiểm tra việc tự động kích hoạt tạo thông báo cho tác giả</t>
        </is>
      </c>
      <c r="E63" s="18" t="inlineStr">
        <is>
          <t>Quản trị viên thực hiện thao tác duyệt tài liệu có ID = 15</t>
        </is>
      </c>
      <c r="F63" s="18" t="inlineStr">
        <is>
          <t>Duyệt tài liệu chuyển trạng thái sang PUBLISHED</t>
        </is>
      </c>
      <c r="G63" s="18" t="inlineStr">
        <is>
          <t>1. Admin gửi lệnh phê duyệt bài qua API.
2. Kiểm tra bảng notifications trong CSDL của tác giả bài viết.</t>
        </is>
      </c>
      <c r="H63" s="18" t="inlineStr">
        <is>
          <t>Tác giả nhận được thông báo mới với tiêu đề 'Học liệu của bạn đã được xuất bản công khai'; cờ isRead=false.</t>
        </is>
      </c>
      <c r="I63" s="16" t="inlineStr">
        <is>
          <t>P0</t>
        </is>
      </c>
      <c r="J63" s="16" t="inlineStr">
        <is>
          <t>S05 / R02</t>
        </is>
      </c>
      <c r="K63" s="21" t="inlineStr">
        <is>
          <t>Nguyễn Tuấn Minh</t>
        </is>
      </c>
      <c r="L63" s="23" t="inlineStr">
        <is>
          <t>Đạt</t>
        </is>
      </c>
      <c r="M63" s="24" t="inlineStr">
        <is>
          <t>Đạt. Lớp AdminNotificationIntegrationTest chạy thành công 6/6 bài test.</t>
        </is>
      </c>
      <c r="N63" s="24" t="n"/>
      <c r="O63" s="25" t="inlineStr">
        <is>
          <t>Nguyễn Huy Hải</t>
        </is>
      </c>
      <c r="P63" s="15" t="inlineStr">
        <is>
          <t>Lần đầu</t>
        </is>
      </c>
      <c r="Q63" s="26" t="inlineStr">
        <is>
          <t>Ngày 6</t>
        </is>
      </c>
      <c r="R63" s="15" t="inlineStr">
        <is>
          <t>S1/S2 (cao) - Lỗi ở chức năng chính hoặc bảo mật</t>
        </is>
      </c>
      <c r="S63" s="27" t="inlineStr">
        <is>
          <t>Đã kiểm tra</t>
        </is>
      </c>
      <c r="T63" s="15" t="inlineStr">
        <is>
          <t>Hoàn thành kiểm thử tích hợp, sẵn sàng kiểm thử hệ thống.</t>
        </is>
      </c>
    </row>
    <row r="64" ht="63.6" customHeight="1">
      <c r="A64" s="16" t="n">
        <v>56</v>
      </c>
      <c r="B64" s="17" t="inlineStr">
        <is>
          <t>IT-056</t>
        </is>
      </c>
      <c r="C64" s="18" t="inlineStr">
        <is>
          <t>Tích hợp thông báo quản trị: Đánh dấu tất cả thông báo là đã đọc qua API REST</t>
        </is>
      </c>
      <c r="D64" s="18" t="inlineStr">
        <is>
          <t>Đảm bảo API /api/notifications/mark-all-read cập nhật hàng loạt trạng thái isRead=true</t>
        </is>
      </c>
      <c r="E64" s="18" t="inlineStr">
        <is>
          <t>Tài khoản có 5 thông báo chưa đọc trong hộp thư</t>
        </is>
      </c>
      <c r="F64" s="18" t="inlineStr">
        <is>
          <t>Gửi PUT/POST request tới /api/notifications/mark-all-read</t>
        </is>
      </c>
      <c r="G64" s="18" t="inlineStr">
        <is>
          <t>1. Gửi request đánh dấu đọc tất cả.
2. Kiểm tra phản hồi HTTP.
3. Đếm số lượng thông báo chưa đọc còn lại.</t>
        </is>
      </c>
      <c r="H64" s="18" t="inlineStr">
        <is>
          <t>HTTP 200; số lượng unreadCount giảm về 0; toàn bộ 5 bản ghi được cập nhật trạng thái đã đọc.</t>
        </is>
      </c>
      <c r="I64" s="16" t="inlineStr">
        <is>
          <t>P1</t>
        </is>
      </c>
      <c r="J64" s="16" t="inlineStr">
        <is>
          <t>S09 / R03</t>
        </is>
      </c>
      <c r="K64" s="21" t="inlineStr">
        <is>
          <t>Nguyễn Tuấn Minh</t>
        </is>
      </c>
      <c r="L64" s="23" t="inlineStr">
        <is>
          <t>Đạt</t>
        </is>
      </c>
      <c r="M64" s="24" t="inlineStr">
        <is>
          <t>Đạt. Đánh dấu đã đọc hàng loạt thông báo hoạt động chính xác và tối ưu truy vấn.</t>
        </is>
      </c>
      <c r="N64" s="24" t="n"/>
      <c r="O64" s="25" t="inlineStr">
        <is>
          <t>Nguyễn Huy Hải</t>
        </is>
      </c>
      <c r="P64" s="15" t="inlineStr">
        <is>
          <t>Lần đầu</t>
        </is>
      </c>
      <c r="Q64" s="26" t="inlineStr">
        <is>
          <t>Ngày 6</t>
        </is>
      </c>
      <c r="R64" s="15" t="inlineStr">
        <is>
          <t>S2/S3 (vừa) - Lỗi ảnh hưởng trải nghiệm hoặc hiệu năng</t>
        </is>
      </c>
      <c r="S64" s="27" t="inlineStr">
        <is>
          <t>Đã kiểm tra</t>
        </is>
      </c>
      <c r="T64" s="15" t="inlineStr">
        <is>
          <t>Hoàn thành kiểm thử tích hợp, sẵn sàng kiểm thử hệ thống.</t>
        </is>
      </c>
    </row>
    <row r="65" ht="63.6" customHeight="1">
      <c r="A65" s="16" t="n">
        <v>57</v>
      </c>
      <c r="B65" s="17" t="inlineStr">
        <is>
          <t>IT-057</t>
        </is>
      </c>
      <c r="C65" s="18" t="inlineStr">
        <is>
          <t>Xác thực mã OTP qua Email: Gửi yêu cầu quên mật khẩu và tạo mã xác thực ngẫu nhiên trong DB</t>
        </is>
      </c>
      <c r="D65" s="18" t="inlineStr">
        <is>
          <t>Đảm bảo AuthOtpIntegrationTest kiểm tra quy trình gửi yêu cầu đặt lại mật khẩu qua email</t>
        </is>
      </c>
      <c r="E65" s="18" t="inlineStr">
        <is>
          <t>Tài khoản email 'sinhvien@edurepo.edu.vn' đã đăng ký trong hệ thống</t>
        </is>
      </c>
      <c r="F65" s="18" t="inlineStr">
        <is>
          <t>Gửi form yêu cầu quên mật khẩu kèm địa chỉ email hợp lệ</t>
        </is>
      </c>
      <c r="G65" s="18" t="inlineStr">
        <is>
          <t>1. Gửi POST tới /auth/forgot-password.
2. Kiểm tra phản hồi HTTP.
3. Kiểm tra mã OTP được băm an toàn và lưu vào bảng password_resets.</t>
        </is>
      </c>
      <c r="H65" s="18" t="inlineStr">
        <is>
          <t>HTTP 200 hoặc redirect thành công; mã OTP 6 số được sinh ra và lưu kèm thời gian hết hạn 5 phút.</t>
        </is>
      </c>
      <c r="I65" s="16" t="inlineStr">
        <is>
          <t>P0</t>
        </is>
      </c>
      <c r="J65" s="16" t="inlineStr">
        <is>
          <t>S01 / R01</t>
        </is>
      </c>
      <c r="K65" s="21" t="inlineStr">
        <is>
          <t>Nguyễn Tuấn Minh</t>
        </is>
      </c>
      <c r="L65" s="23" t="inlineStr">
        <is>
          <t>Đạt</t>
        </is>
      </c>
      <c r="M65" s="24" t="inlineStr">
        <is>
          <t>Đạt. Lớp AuthOtpIntegrationTest kiểm tra quy trình sinh mã OTP thành công 5/5 bài.</t>
        </is>
      </c>
      <c r="N65" s="24" t="n"/>
      <c r="O65" s="25" t="inlineStr">
        <is>
          <t>Nguyễn Huy Hải</t>
        </is>
      </c>
      <c r="P65" s="15" t="inlineStr">
        <is>
          <t>Lần đầu</t>
        </is>
      </c>
      <c r="Q65" s="26" t="inlineStr">
        <is>
          <t>Ngày 6</t>
        </is>
      </c>
      <c r="R65" s="15" t="inlineStr">
        <is>
          <t>S1/S2 (cao) - Lỗi ở chức năng chính hoặc bảo mật</t>
        </is>
      </c>
      <c r="S65" s="27" t="inlineStr">
        <is>
          <t>Đã kiểm tra</t>
        </is>
      </c>
      <c r="T65" s="15" t="inlineStr">
        <is>
          <t>Hoàn thành kiểm thử tích hợp, sẵn sàng kiểm thử hệ thống.</t>
        </is>
      </c>
    </row>
    <row r="66" ht="63.6" customHeight="1">
      <c r="A66" s="16" t="n">
        <v>58</v>
      </c>
      <c r="B66" s="17" t="inlineStr">
        <is>
          <t>IT-058</t>
        </is>
      </c>
      <c r="C66" s="18" t="inlineStr">
        <is>
          <t>Xác thực mã OTP qua Email: Xác nhận mã OTP hợp lệ và cấp token đặt lại mật khẩu</t>
        </is>
      </c>
      <c r="D66" s="18" t="inlineStr">
        <is>
          <t>Đảm bảo khi nhập đúng mã OTP còn hạn, hệ thống trả về token xác thực tạm thời để vào form tạo mật khẩu mới</t>
        </is>
      </c>
      <c r="E66" s="18" t="inlineStr">
        <is>
          <t>Mã OTP '654321' vừa được tạo trong vòng 1 phút</t>
        </is>
      </c>
      <c r="F66" s="18" t="inlineStr">
        <is>
          <t>Gửi POST tới /auth/verify-otp với mã đúng</t>
        </is>
      </c>
      <c r="G66" s="18" t="inlineStr">
        <is>
          <t>1. Gửi mã OTP lên máy chủ.
2. Kiểm tra kết quả phản hồi.</t>
        </is>
      </c>
      <c r="H66" s="18" t="inlineStr">
        <is>
          <t>Hệ thống xác thực thành công, vô hiệu hóa mã OTP vừa dùng và cho phép chuyển sang bước nhập mật khẩu mới.</t>
        </is>
      </c>
      <c r="I66" s="16" t="inlineStr">
        <is>
          <t>P0</t>
        </is>
      </c>
      <c r="J66" s="16" t="inlineStr">
        <is>
          <t>S01 / R01</t>
        </is>
      </c>
      <c r="K66" s="21" t="inlineStr">
        <is>
          <t>Nguyễn Tuấn Minh</t>
        </is>
      </c>
      <c r="L66" s="23" t="inlineStr">
        <is>
          <t>Đạt</t>
        </is>
      </c>
      <c r="M66" s="24" t="inlineStr">
        <is>
          <t>Đạt. Quy trình xác thực OTP bảo mật cao, chống sử dụng lại mã (anti-replay).</t>
        </is>
      </c>
      <c r="N66" s="24" t="n"/>
      <c r="O66" s="25" t="inlineStr">
        <is>
          <t>Nguyễn Huy Hải</t>
        </is>
      </c>
      <c r="P66" s="15" t="inlineStr">
        <is>
          <t>Lần đầu</t>
        </is>
      </c>
      <c r="Q66" s="26" t="inlineStr">
        <is>
          <t>Ngày 6</t>
        </is>
      </c>
      <c r="R66" s="15" t="inlineStr">
        <is>
          <t>S1/S2 (cao) - Lỗi ở chức năng chính hoặc bảo mật</t>
        </is>
      </c>
      <c r="S66" s="27" t="inlineStr">
        <is>
          <t>Đã kiểm tra</t>
        </is>
      </c>
      <c r="T66" s="15" t="inlineStr">
        <is>
          <t>Hoàn thành kiểm thử tích hợp, sẵn sàng kiểm thử hệ thống.</t>
        </is>
      </c>
    </row>
    <row r="67" ht="63.6" customHeight="1">
      <c r="A67" s="16" t="n">
        <v>59</v>
      </c>
      <c r="B67" s="17" t="inlineStr">
        <is>
          <t>IT-059</t>
        </is>
      </c>
      <c r="C67" s="18" t="inlineStr">
        <is>
          <t>Xác thực mã OTP qua Email: Vô hiệu hóa yêu cầu khi nhập sai mã OTP quá 3 lần</t>
        </is>
      </c>
      <c r="D67" s="18" t="inlineStr">
        <is>
          <t>Đảm bảo hệ thống phát hiện hành vi dò mã OTP (Brute-force) và hủy bỏ phiên đặt lại mật khẩu</t>
        </is>
      </c>
      <c r="E67" s="18" t="inlineStr">
        <is>
          <t>Mã OTP đang còn hiệu lực trong hệ thống</t>
        </is>
      </c>
      <c r="F67" s="18" t="inlineStr">
        <is>
          <t>Cố tình nhập sai mã 3 lần liên tiếp: '000000', '111111', '222222'</t>
        </is>
      </c>
      <c r="G67" s="18" t="inlineStr">
        <is>
          <t>1. Lần lượt gửi 3 lần mã sai.
2. Quan sát phản hồi ở lần thứ 3.</t>
        </is>
      </c>
      <c r="H67" s="18" t="inlineStr">
        <is>
          <t>Ở lần thứ 3, hệ thống khóa phiên xác thực; mã OTP bị hủy bỏ; yêu cầu người dùng phải xin cấp mã mới từ đầu.</t>
        </is>
      </c>
      <c r="I67" s="16" t="inlineStr">
        <is>
          <t>P0</t>
        </is>
      </c>
      <c r="J67" s="16" t="inlineStr">
        <is>
          <t>S01 / R01</t>
        </is>
      </c>
      <c r="K67" s="21" t="inlineStr">
        <is>
          <t>Nguyễn Tuấn Minh</t>
        </is>
      </c>
      <c r="L67" s="23" t="inlineStr">
        <is>
          <t>Đạt</t>
        </is>
      </c>
      <c r="M67" s="24" t="inlineStr">
        <is>
          <t>Đạt. Ngăn chặn triệt để nguy cơ tấn công brute-force mã xác thực.</t>
        </is>
      </c>
      <c r="N67" s="24" t="n"/>
      <c r="O67" s="25" t="inlineStr">
        <is>
          <t>Nguyễn Huy Hải</t>
        </is>
      </c>
      <c r="P67" s="15" t="inlineStr">
        <is>
          <t>Lần đầu</t>
        </is>
      </c>
      <c r="Q67" s="26" t="inlineStr">
        <is>
          <t>Ngày 6</t>
        </is>
      </c>
      <c r="R67" s="15" t="inlineStr">
        <is>
          <t>S1/S2 (cao) - Lỗi ở chức năng chính hoặc bảo mật</t>
        </is>
      </c>
      <c r="S67" s="27" t="inlineStr">
        <is>
          <t>Đã kiểm tra</t>
        </is>
      </c>
      <c r="T67" s="15" t="inlineStr">
        <is>
          <t>Hoàn thành kiểm thử tích hợp, sẵn sàng kiểm thử hệ thống.</t>
        </is>
      </c>
    </row>
    <row r="68" ht="63.6" customHeight="1">
      <c r="A68" s="16" t="n">
        <v>60</v>
      </c>
      <c r="B68" s="17" t="inlineStr">
        <is>
          <t>IT-060</t>
        </is>
      </c>
      <c r="C68" s="18" t="inlineStr">
        <is>
          <t>Tải xuống học liệu: Cấp liên kết tải tệp an toàn kèm chữ ký xác thực thời hạn</t>
        </is>
      </c>
      <c r="D68" s="18" t="inlineStr">
        <is>
          <t>Đảm bảo DownloadController kiểm tra tính hợp lệ của token tải tệp trước khi truyền phát nhị phân</t>
        </is>
      </c>
      <c r="E68" s="18" t="inlineStr">
        <is>
          <t>Tài liệu đã xuất bản có tệp đính kèm trên ổ đĩa</t>
        </is>
      </c>
      <c r="F68" s="18" t="inlineStr">
        <is>
          <t>Gửi yêu cầu tải tệp kèm token hợp lệ</t>
        </is>
      </c>
      <c r="G68" s="18" t="inlineStr">
        <is>
          <t>1. Gửi GET tới /documents/{id}/download kèm token.
2. Kiểm tra Content-Type, Content-Disposition và dung lượng tệp nhận được.</t>
        </is>
      </c>
      <c r="H68" s="18" t="inlineStr">
        <is>
          <t>HTTP 200; Content-Disposition chứa đúng tên tệp gốc; luồng tệp tải về nguyên vẹn không bị lỗi byte.</t>
        </is>
      </c>
      <c r="I68" s="16" t="inlineStr">
        <is>
          <t>P0</t>
        </is>
      </c>
      <c r="J68" s="16" t="inlineStr">
        <is>
          <t>S04 / R02</t>
        </is>
      </c>
      <c r="K68" s="21" t="inlineStr">
        <is>
          <t>Nguyễn Tuấn Minh</t>
        </is>
      </c>
      <c r="L68" s="23" t="inlineStr">
        <is>
          <t>Đạt</t>
        </is>
      </c>
      <c r="M68" s="24" t="inlineStr">
        <is>
          <t>Đạt. Lớp DownloadControllerTest chạy thành công 4/4 bài kiểm thử tải tệp.</t>
        </is>
      </c>
      <c r="N68" s="24" t="n"/>
      <c r="O68" s="25" t="inlineStr">
        <is>
          <t>Nguyễn Huy Hải</t>
        </is>
      </c>
      <c r="P68" s="15" t="inlineStr">
        <is>
          <t>Lần đầu</t>
        </is>
      </c>
      <c r="Q68" s="26" t="inlineStr">
        <is>
          <t>Ngày 6</t>
        </is>
      </c>
      <c r="R68" s="15" t="inlineStr">
        <is>
          <t>S1/S2 (cao) - Lỗi ở chức năng chính hoặc bảo mật</t>
        </is>
      </c>
      <c r="S68" s="27" t="inlineStr">
        <is>
          <t>Đã kiểm tra</t>
        </is>
      </c>
      <c r="T68" s="15" t="inlineStr">
        <is>
          <t>Hoàn thành kiểm thử tích hợp, sẵn sàng kiểm thử hệ thống.</t>
        </is>
      </c>
    </row>
    <row r="69" ht="63.6" customHeight="1">
      <c r="A69" s="16" t="n">
        <v>61</v>
      </c>
      <c r="B69" s="17" t="inlineStr">
        <is>
          <t>IT-061</t>
        </is>
      </c>
      <c r="C69" s="18" t="inlineStr">
        <is>
          <t>Tải xuống học liệu: Từ chối tải tệp khi token hết hạn hoặc tài liệu chưa được xuất bản</t>
        </is>
      </c>
      <c r="D69" s="18" t="inlineStr">
        <is>
          <t>Đảm bảo người ngoài không thể tải tệp bản nháp hoặc tải bằng liên kết đã hết hạn</t>
        </is>
      </c>
      <c r="E69" s="18" t="inlineStr">
        <is>
          <t>Tài liệu đang ở trạng thái DRAFT hoặc token tải tệp đã quá hạn 15 phút</t>
        </is>
      </c>
      <c r="F69" s="18" t="inlineStr">
        <is>
          <t>Gửi GET request tải tệp</t>
        </is>
      </c>
      <c r="G69" s="18" t="inlineStr">
        <is>
          <t>1. Gửi request tải tệp vi phạm điều kiện.
2. Kiểm tra mã phản hồi HTTP.</t>
        </is>
      </c>
      <c r="H69" s="18" t="inlineStr">
        <is>
          <t>HTTP 403 Forbidden hoặc HTTP 404 Not Found; bảo vệ tệp tài nguyên nội bộ không bị lộ ra ngoài.</t>
        </is>
      </c>
      <c r="I69" s="16" t="inlineStr">
        <is>
          <t>P0</t>
        </is>
      </c>
      <c r="J69" s="16" t="inlineStr">
        <is>
          <t>S04 / R01</t>
        </is>
      </c>
      <c r="K69" s="21" t="inlineStr">
        <is>
          <t>Nguyễn Tuấn Minh</t>
        </is>
      </c>
      <c r="L69" s="23" t="inlineStr">
        <is>
          <t>Đạt</t>
        </is>
      </c>
      <c r="M69" s="24" t="inlineStr">
        <is>
          <t>Đạt. Cơ chế bảo vệ đường dẫn tải tệp ngăn ngừa truy cập trái phép tuyệt đối.</t>
        </is>
      </c>
      <c r="N69" s="24" t="n"/>
      <c r="O69" s="25" t="inlineStr">
        <is>
          <t>Nguyễn Huy Hải</t>
        </is>
      </c>
      <c r="P69" s="15" t="inlineStr">
        <is>
          <t>Lần đầu</t>
        </is>
      </c>
      <c r="Q69" s="26" t="inlineStr">
        <is>
          <t>Ngày 6</t>
        </is>
      </c>
      <c r="R69" s="15" t="inlineStr">
        <is>
          <t>S1/S2 (cao) - Lỗi ở chức năng chính hoặc bảo mật</t>
        </is>
      </c>
      <c r="S69" s="27" t="inlineStr">
        <is>
          <t>Đã kiểm tra</t>
        </is>
      </c>
      <c r="T69" s="15" t="inlineStr">
        <is>
          <t>Hoàn thành kiểm thử tích hợp, sẵn sàng kiểm thử hệ thống.</t>
        </is>
      </c>
    </row>
    <row r="70" ht="63.6" customHeight="1">
      <c r="A70" s="16" t="n">
        <v>62</v>
      </c>
      <c r="B70" s="17" t="inlineStr">
        <is>
          <t>IT-062</t>
        </is>
      </c>
      <c r="C70" s="18" t="inlineStr">
        <is>
          <t>Bảo mật cổng giám sát: Phân quyền truy cập Actuator chỉ cho phép vai trò ROLE_ADMIN</t>
        </is>
      </c>
      <c r="D70" s="18" t="inlineStr">
        <is>
          <t>Đảm bảo ActuatorSecurityIntegrationTest kiểm tra các cổng /actuator/env, /actuator/beans bị chặn đối với User thường</t>
        </is>
      </c>
      <c r="E70" s="18" t="inlineStr">
        <is>
          <t>Tài khoản người dùng mang vai trò ROLE_USER</t>
        </is>
      </c>
      <c r="F70" s="18" t="inlineStr">
        <is>
          <t>Gửi GET tới /actuator/env và /actuator/mappings</t>
        </is>
      </c>
      <c r="G70" s="18" t="inlineStr">
        <is>
          <t>1. Đăng nhập với quyền USER.
2. Gửi request tới các endpoint giám sát nhạy cảm.
3. Kiểm tra mã trạng thái trả về.</t>
        </is>
      </c>
      <c r="H70" s="18" t="inlineStr">
        <is>
          <t>HTTP 403 Forbidden đối với USER; khi đổi sang đăng nhập ADMIN thì trả về HTTP 200 thành công.</t>
        </is>
      </c>
      <c r="I70" s="16" t="inlineStr">
        <is>
          <t>P0</t>
        </is>
      </c>
      <c r="J70" s="16" t="inlineStr">
        <is>
          <t>S10 / R01</t>
        </is>
      </c>
      <c r="K70" s="21" t="inlineStr">
        <is>
          <t>Nguyễn Tuấn Minh</t>
        </is>
      </c>
      <c r="L70" s="23" t="inlineStr">
        <is>
          <t>Đạt</t>
        </is>
      </c>
      <c r="M70" s="24" t="inlineStr">
        <is>
          <t>Đạt. Lớp ActuatorSecurityIntegrationTest chạy thành công 4/4 bài kiểm tra phân quyền.</t>
        </is>
      </c>
      <c r="N70" s="24" t="n"/>
      <c r="O70" s="25" t="inlineStr">
        <is>
          <t>Nguyễn Huy Hải</t>
        </is>
      </c>
      <c r="P70" s="15" t="inlineStr">
        <is>
          <t>Lần đầu</t>
        </is>
      </c>
      <c r="Q70" s="26" t="inlineStr">
        <is>
          <t>Ngày 6</t>
        </is>
      </c>
      <c r="R70" s="15" t="inlineStr">
        <is>
          <t>S1/S2 (cao) - Lỗi ở chức năng chính hoặc bảo mật</t>
        </is>
      </c>
      <c r="S70" s="27" t="inlineStr">
        <is>
          <t>Đã kiểm tra</t>
        </is>
      </c>
      <c r="T70" s="15" t="inlineStr">
        <is>
          <t>Hoàn thành kiểm thử tích hợp, sẵn sàng kiểm thử hệ thống.</t>
        </is>
      </c>
    </row>
    <row r="71" ht="63.6" customHeight="1">
      <c r="A71" s="16" t="n">
        <v>63</v>
      </c>
      <c r="B71" s="17" t="inlineStr">
        <is>
          <t>IT-063</t>
        </is>
      </c>
      <c r="C71" s="18" t="inlineStr">
        <is>
          <t>Bảo mật cổng giám sát: Cho phép truy cập cổng kiểm tra sức khỏe cơ bản /actuator/health</t>
        </is>
      </c>
      <c r="D71" s="18" t="inlineStr">
        <is>
          <t>Đảm bảo endpoint health check có thể được hệ thống điều phối (Kubernetes/Docker) gọi mà không cần đăng nhập</t>
        </is>
      </c>
      <c r="E71" s="18" t="inlineStr">
        <is>
          <t>Yêu cầu ẩn danh từ hệ thống giám sát hạ tầng</t>
        </is>
      </c>
      <c r="F71" s="18" t="inlineStr">
        <is>
          <t>Gửi GET tới /actuator/health</t>
        </is>
      </c>
      <c r="G71" s="18" t="inlineStr">
        <is>
          <t>1. Gửi request không kèm cookie xác thực.
2. Kiểm tra mã trạng thái và JSON phản hồi.</t>
        </is>
      </c>
      <c r="H71" s="18" t="inlineStr">
        <is>
          <t>HTTP 200; JSON phản hồi hiển thị {"status":"UP"} mà không làm lộ chi tiết nhạy cảm của CSDL.</t>
        </is>
      </c>
      <c r="I71" s="16" t="inlineStr">
        <is>
          <t>P0</t>
        </is>
      </c>
      <c r="J71" s="16" t="inlineStr">
        <is>
          <t>S10 / R01</t>
        </is>
      </c>
      <c r="K71" s="21" t="inlineStr">
        <is>
          <t>Nguyễn Tuấn Minh</t>
        </is>
      </c>
      <c r="L71" s="23" t="inlineStr">
        <is>
          <t>Đạt</t>
        </is>
      </c>
      <c r="M71" s="24" t="inlineStr">
        <is>
          <t>Đạt. Endpoint health check phục vụ giám sát container hoạt động hoàn hảo.</t>
        </is>
      </c>
      <c r="N71" s="24" t="n"/>
      <c r="O71" s="25" t="inlineStr">
        <is>
          <t>Nguyễn Huy Hải</t>
        </is>
      </c>
      <c r="P71" s="15" t="inlineStr">
        <is>
          <t>Lần đầu</t>
        </is>
      </c>
      <c r="Q71" s="26" t="inlineStr">
        <is>
          <t>Ngày 6</t>
        </is>
      </c>
      <c r="R71" s="15" t="inlineStr">
        <is>
          <t>S1/S2 (cao) - Lỗi ở chức năng chính hoặc bảo mật</t>
        </is>
      </c>
      <c r="S71" s="27" t="inlineStr">
        <is>
          <t>Đã kiểm tra</t>
        </is>
      </c>
      <c r="T71" s="15" t="inlineStr">
        <is>
          <t>Hoàn thành kiểm thử tích hợp, sẵn sàng kiểm thử hệ thống.</t>
        </is>
      </c>
    </row>
    <row r="72" ht="63.6" customHeight="1">
      <c r="A72" s="16" t="n">
        <v>64</v>
      </c>
      <c r="B72" s="17" t="inlineStr">
        <is>
          <t>IT-064</t>
        </is>
      </c>
      <c r="C72" s="18" t="inlineStr">
        <is>
          <t>Quản trị người dùng: Truy cập và kết xuất trang quản trị thành viên /admin/users</t>
        </is>
      </c>
      <c r="D72" s="18" t="inlineStr">
        <is>
          <t>Đảm bảo UserModulePagesIntegrationTest kiểm tra trang quản lý danh sách người dùng render đầy đủ dữ liệu</t>
        </is>
      </c>
      <c r="E72" s="18" t="inlineStr">
        <is>
          <t>Tài khoản đăng nhập mang quyền ROLE_ADMIN</t>
        </is>
      </c>
      <c r="F72" s="18" t="inlineStr">
        <is>
          <t>Gửi GET tới /admin/users</t>
        </is>
      </c>
      <c r="G72" s="18" t="inlineStr">
        <is>
          <t>1. Đăng nhập quyền Admin.
2. Gửi GET tới trang quản trị thành viên.
3. Kiểm tra các thành phần giao diện bảng dữ liệu trả về.</t>
        </is>
      </c>
      <c r="H72" s="18" t="inlineStr">
        <is>
          <t>HTTP 200; bảng thành viên hiển thị danh sách người dùng, cột phân vai trò và các nút khóa/mở tài khoản.</t>
        </is>
      </c>
      <c r="I72" s="16" t="inlineStr">
        <is>
          <t>P0</t>
        </is>
      </c>
      <c r="J72" s="16" t="inlineStr">
        <is>
          <t>S02 / R02</t>
        </is>
      </c>
      <c r="K72" s="21" t="inlineStr">
        <is>
          <t>Nguyễn Tuấn Minh</t>
        </is>
      </c>
      <c r="L72" s="23" t="inlineStr">
        <is>
          <t>Đạt</t>
        </is>
      </c>
      <c r="M72" s="24" t="inlineStr">
        <is>
          <t>Đạt. Lớp UserModulePagesIntegrationTest vượt qua kiểm tra giao diện trang quản trị.</t>
        </is>
      </c>
      <c r="N72" s="24" t="n"/>
      <c r="O72" s="25" t="inlineStr">
        <is>
          <t>Nguyễn Huy Hải</t>
        </is>
      </c>
      <c r="P72" s="15" t="inlineStr">
        <is>
          <t>Lần đầu</t>
        </is>
      </c>
      <c r="Q72" s="26" t="inlineStr">
        <is>
          <t>Ngày 6</t>
        </is>
      </c>
      <c r="R72" s="15" t="inlineStr">
        <is>
          <t>S1/S2 (cao) - Lỗi ở chức năng chính hoặc bảo mật</t>
        </is>
      </c>
      <c r="S72" s="27" t="inlineStr">
        <is>
          <t>Đã kiểm tra</t>
        </is>
      </c>
      <c r="T72" s="15" t="inlineStr">
        <is>
          <t>Hoàn thành kiểm thử tích hợp, sẵn sàng kiểm thử hệ thống.</t>
        </is>
      </c>
    </row>
    <row r="73" ht="63.6" customHeight="1">
      <c r="A73" s="16" t="n">
        <v>65</v>
      </c>
      <c r="B73" s="17" t="inlineStr">
        <is>
          <t>IT-065</t>
        </is>
      </c>
      <c r="C73" s="18" t="inlineStr">
        <is>
          <t>Quản trị người dùng: Thực hiện khóa tài khoản vi phạm và kiểm tra trạng thái trong CSDL</t>
        </is>
      </c>
      <c r="D73" s="18" t="inlineStr">
        <is>
          <t>Đảm bảo thao tác bấm nút khóa tài khoản cập nhật ngay lập tức trường enabled=false trong bảng users</t>
        </is>
      </c>
      <c r="E73" s="18" t="inlineStr">
        <is>
          <t>Người dùng vi phạm quy định có ID = 8 đang ở trạng thái kích hoạt</t>
        </is>
      </c>
      <c r="F73" s="18" t="inlineStr">
        <is>
          <t>Admin gửi lệnh khóa tài khoản qua POST /admin/users/{id}/toggle-status</t>
        </is>
      </c>
      <c r="G73" s="18" t="inlineStr">
        <is>
          <t>1. Admin gửi lệnh khóa tài khoản.
2. Kiểm tra phản hồi HTTP.
3. Truy vấn bảng users trong CSDL.</t>
        </is>
      </c>
      <c r="H73" s="18" t="inlineStr">
        <is>
          <t>Cột enabled đổi thành false; tài khoản bị khóa không thể tiếp tục đăng nhập vào hệ thống.</t>
        </is>
      </c>
      <c r="I73" s="16" t="inlineStr">
        <is>
          <t>P0</t>
        </is>
      </c>
      <c r="J73" s="16" t="inlineStr">
        <is>
          <t>S02 / R01</t>
        </is>
      </c>
      <c r="K73" s="21" t="inlineStr">
        <is>
          <t>Nguyễn Tuấn Minh</t>
        </is>
      </c>
      <c r="L73" s="23" t="inlineStr">
        <is>
          <t>Đạt</t>
        </is>
      </c>
      <c r="M73" s="24" t="inlineStr">
        <is>
          <t>Đạt. Chức năng vô hiệu hóa tài khoản vi phạm hoạt động tức thời và chính xác.</t>
        </is>
      </c>
      <c r="N73" s="24" t="n"/>
      <c r="O73" s="25" t="inlineStr">
        <is>
          <t>Nguyễn Huy Hải</t>
        </is>
      </c>
      <c r="P73" s="15" t="inlineStr">
        <is>
          <t>Lần đầu</t>
        </is>
      </c>
      <c r="Q73" s="26" t="inlineStr">
        <is>
          <t>Ngày 6</t>
        </is>
      </c>
      <c r="R73" s="15" t="inlineStr">
        <is>
          <t>S1/S2 (cao) - Lỗi ở chức năng chính hoặc bảo mật</t>
        </is>
      </c>
      <c r="S73" s="27" t="inlineStr">
        <is>
          <t>Đã kiểm tra</t>
        </is>
      </c>
      <c r="T73" s="15" t="inlineStr">
        <is>
          <t>Hoàn thành kiểm thử tích hợp, sẵn sàng kiểm thử hệ thống.</t>
        </is>
      </c>
    </row>
    <row r="74" ht="63.6" customHeight="1">
      <c r="A74" s="16" t="n">
        <v>66</v>
      </c>
      <c r="B74" s="17" t="inlineStr">
        <is>
          <t>IT-066</t>
        </is>
      </c>
      <c r="C74" s="18" t="inlineStr">
        <is>
          <t>Bảo vệ đăng nhập: Ghi nhận số lần đăng nhập sai và tự động kích hoạt hình phạt khóa</t>
        </is>
      </c>
      <c r="D74" s="18" t="inlineStr">
        <is>
          <t>Đảm bảo LoginAttemptIntegrationTest kiểm tra việc ghi vết vào bảng login_attempts và khóa khi sai 5 lần</t>
        </is>
      </c>
      <c r="E74" s="18" t="inlineStr">
        <is>
          <t>Tài khoản hợp lệ trong hệ thống</t>
        </is>
      </c>
      <c r="F74" s="18" t="inlineStr">
        <is>
          <t>Cố tình nhập sai mật khẩu 5 lần liên tiếp qua form đăng nhập /login</t>
        </is>
      </c>
      <c r="G74" s="18" t="inlineStr">
        <is>
          <t>1. Thực hiện gửi 5 request đăng nhập sai mật khẩu.
2. Kiểm tra số lần ghi nhận trong bảng login_attempts.
3. Thử đăng nhập lần thứ 6 với mật khẩu ĐÚNG.</t>
        </is>
      </c>
      <c r="H74" s="18" t="inlineStr">
        <is>
          <t>Ở lần thứ 6 dù gõ đúng mật khẩu vẫn bị từ chối với thông báo: 'Tài khoản đã bị tạm khóa do nhập sai quá nhiều lần'.</t>
        </is>
      </c>
      <c r="I74" s="16" t="inlineStr">
        <is>
          <t>P0</t>
        </is>
      </c>
      <c r="J74" s="16" t="inlineStr">
        <is>
          <t>S01 / R01</t>
        </is>
      </c>
      <c r="K74" s="21" t="inlineStr">
        <is>
          <t>Nguyễn Tuấn Minh</t>
        </is>
      </c>
      <c r="L74" s="23" t="inlineStr">
        <is>
          <t>Đạt</t>
        </is>
      </c>
      <c r="M74" s="24" t="inlineStr">
        <is>
          <t>Đạt. Lớp LoginAttemptIntegrationTest chạy thành công 2/2 bài kiểm thử bảo vệ đăng nhập.</t>
        </is>
      </c>
      <c r="N74" s="24" t="n"/>
      <c r="O74" s="25" t="inlineStr">
        <is>
          <t>Nguyễn Huy Hải</t>
        </is>
      </c>
      <c r="P74" s="15" t="inlineStr">
        <is>
          <t>Lần đầu</t>
        </is>
      </c>
      <c r="Q74" s="26" t="inlineStr">
        <is>
          <t>Ngày 6</t>
        </is>
      </c>
      <c r="R74" s="15" t="inlineStr">
        <is>
          <t>S1/S2 (cao) - Lỗi ở chức năng chính hoặc bảo mật</t>
        </is>
      </c>
      <c r="S74" s="27" t="inlineStr">
        <is>
          <t>Đã kiểm tra</t>
        </is>
      </c>
      <c r="T74" s="15" t="inlineStr">
        <is>
          <t>Hoàn thành kiểm thử tích hợp, sẵn sàng kiểm thử hệ thống.</t>
        </is>
      </c>
    </row>
    <row r="75" ht="63.6" customHeight="1">
      <c r="A75" s="16" t="n">
        <v>67</v>
      </c>
      <c r="B75" s="17" t="inlineStr">
        <is>
          <t>IT-067</t>
        </is>
      </c>
      <c r="C75" s="18" t="inlineStr">
        <is>
          <t>Bảo vệ đăng nhập: Tự động mở khóa và cho phép đăng nhập sau khi hết thời gian chờ phạt</t>
        </is>
      </c>
      <c r="D75" s="18" t="inlineStr">
        <is>
          <t>Đảm bảo sau 15 phút bị khóa tạm thời, tài khoản tự động được phép đăng nhập lại bình thường</t>
        </is>
      </c>
      <c r="E75" s="18" t="inlineStr">
        <is>
          <t>Tài khoản đang bị khóa tạm thời do nhập sai mật khẩu</t>
        </is>
      </c>
      <c r="F75" s="18" t="inlineStr">
        <is>
          <t>Giả lập thời gian trôi qua quá 15 phút (901 giây)</t>
        </is>
      </c>
      <c r="G75" s="18" t="inlineStr">
        <is>
          <t>1. Thực hiện đăng nhập với mật khẩu đúng sau khi hết hạn phạt.
2. Kiểm tra trạng thái phản hồi.</t>
        </is>
      </c>
      <c r="H75" s="18" t="inlineStr">
        <is>
          <t>Đăng nhập thành công; bộ đếm số lần sai được xóa sạch về 0; người dùng vào được trang chủ bình thường.</t>
        </is>
      </c>
      <c r="I75" s="16" t="inlineStr">
        <is>
          <t>P0</t>
        </is>
      </c>
      <c r="J75" s="16" t="inlineStr">
        <is>
          <t>S01 / R01</t>
        </is>
      </c>
      <c r="K75" s="21" t="inlineStr">
        <is>
          <t>Nguyễn Tuấn Minh</t>
        </is>
      </c>
      <c r="L75" s="23" t="inlineStr">
        <is>
          <t>Đạt</t>
        </is>
      </c>
      <c r="M75" s="24" t="inlineStr">
        <is>
          <t>Đạt. Cơ chế tự động giải phóng khóa tạm thời hoạt động đúng theo quy định an toàn.</t>
        </is>
      </c>
      <c r="N75" s="24" t="n"/>
      <c r="O75" s="25" t="inlineStr">
        <is>
          <t>Nguyễn Huy Hải</t>
        </is>
      </c>
      <c r="P75" s="15" t="inlineStr">
        <is>
          <t>Lần đầu</t>
        </is>
      </c>
      <c r="Q75" s="26" t="inlineStr">
        <is>
          <t>Ngày 6</t>
        </is>
      </c>
      <c r="R75" s="15" t="inlineStr">
        <is>
          <t>S1/S2 (cao) - Lỗi ở chức năng chính hoặc bảo mật</t>
        </is>
      </c>
      <c r="S75" s="27" t="inlineStr">
        <is>
          <t>Đã kiểm tra</t>
        </is>
      </c>
      <c r="T75" s="15" t="inlineStr">
        <is>
          <t>Hoàn thành kiểm thử tích hợp, sẵn sàng kiểm thử hệ thống.</t>
        </is>
      </c>
    </row>
    <row r="76" ht="63.6" customHeight="1">
      <c r="A76" s="16" t="n">
        <v>68</v>
      </c>
      <c r="B76" s="17" t="inlineStr">
        <is>
          <t>IT-068</t>
        </is>
      </c>
      <c r="C76" s="18" t="inlineStr">
        <is>
          <t>Phân quyền quản trị: Chặn sinh viên cố tình gọi trực tiếp API lưu thông tin người dùng</t>
        </is>
      </c>
      <c r="D76" s="18" t="inlineStr">
        <is>
          <t>Đảm bảo UserModuleAuthorizationTest chặn đứng các request can thiệp trái phép vào phân quyền người dùng</t>
        </is>
      </c>
      <c r="E76" s="18" t="inlineStr">
        <is>
          <t>Tài khoản sinh viên đăng nhập quyền ROLE_USER</t>
        </is>
      </c>
      <c r="F76" s="18" t="inlineStr">
        <is>
          <t>Gửi POST tới /admin/users/save nhằm tự thăng cấp tài khoản lên ADMIN</t>
        </is>
      </c>
      <c r="G76" s="18" t="inlineStr">
        <is>
          <t>1. Gửi request POST giả mạo từ quyền USER.
2. Kiểm tra mã lỗi trả về.</t>
        </is>
      </c>
      <c r="H76" s="18" t="inlineStr">
        <is>
          <t>HTTP 403 Forbidden; hệ thống chặn đứng yêu cầu và ghi lại cảnh báo an ninh vào Audit Log.</t>
        </is>
      </c>
      <c r="I76" s="16" t="inlineStr">
        <is>
          <t>P0</t>
        </is>
      </c>
      <c r="J76" s="16" t="inlineStr">
        <is>
          <t>S01 / R01</t>
        </is>
      </c>
      <c r="K76" s="21" t="inlineStr">
        <is>
          <t>Nguyễn Tuấn Minh</t>
        </is>
      </c>
      <c r="L76" s="23" t="inlineStr">
        <is>
          <t>Đạt</t>
        </is>
      </c>
      <c r="M76" s="24" t="inlineStr">
        <is>
          <t>Đạt. Lớp UserModuleAuthorizationTest bảo vệ tuyệt đối cổng API quản trị người dùng.</t>
        </is>
      </c>
      <c r="N76" s="24" t="n"/>
      <c r="O76" s="25" t="inlineStr">
        <is>
          <t>Nguyễn Huy Hải</t>
        </is>
      </c>
      <c r="P76" s="15" t="inlineStr">
        <is>
          <t>Lần đầu</t>
        </is>
      </c>
      <c r="Q76" s="26" t="inlineStr">
        <is>
          <t>Ngày 6</t>
        </is>
      </c>
      <c r="R76" s="15" t="inlineStr">
        <is>
          <t>S1/S2 (cao) - Lỗi ở chức năng chính hoặc bảo mật</t>
        </is>
      </c>
      <c r="S76" s="27" t="inlineStr">
        <is>
          <t>Đã kiểm tra</t>
        </is>
      </c>
      <c r="T76" s="15" t="inlineStr">
        <is>
          <t>Hoàn thành kiểm thử tích hợp, sẵn sàng kiểm thử hệ thống.</t>
        </is>
      </c>
    </row>
    <row r="77" ht="63.6" customHeight="1">
      <c r="A77" s="16" t="n">
        <v>69</v>
      </c>
      <c r="B77" s="17" t="inlineStr">
        <is>
          <t>IT-069</t>
        </is>
      </c>
      <c r="C77" s="18" t="inlineStr">
        <is>
          <t>Tính bền vững dữ liệu: Bảo toàn phiên trò chuyện AI sau chu kỳ khởi động lại máy chủ</t>
        </is>
      </c>
      <c r="D77" s="18" t="inlineStr">
        <is>
          <t>Đảm bảo DocumentSessionPersistenceTest kiểm tra phiên chat và tin nhắn không bị mất khi ứng dụng restart</t>
        </is>
      </c>
      <c r="E77" s="18" t="inlineStr">
        <is>
          <t>Tạo phiên trò chuyện và trao đổi 3 câu hỏi với AI</t>
        </is>
      </c>
      <c r="F77" s="18" t="inlineStr">
        <is>
          <t>Khởi động lại tiến trình ứng dụng Spring Boot</t>
        </is>
      </c>
      <c r="G77" s="18" t="inlineStr">
        <is>
          <t>1. Lưu phiên chat vào CSDL.
2. Khởi động lại ứng dụng.
3. Truy vấn lại phiên chat bằng sessionId cũ.</t>
        </is>
      </c>
      <c r="H77" s="18" t="inlineStr">
        <is>
          <t>Phiên trò chuyện và toàn bộ lịch sử tin nhắn phục hồi nguyên vẹn 100% từ CSDL MySQL.</t>
        </is>
      </c>
      <c r="I77" s="16" t="inlineStr">
        <is>
          <t>P0</t>
        </is>
      </c>
      <c r="J77" s="16" t="inlineStr">
        <is>
          <t>S08 / R03</t>
        </is>
      </c>
      <c r="K77" s="21" t="inlineStr">
        <is>
          <t>Nguyễn Tuấn Minh</t>
        </is>
      </c>
      <c r="L77" s="23" t="inlineStr">
        <is>
          <t>Đạt</t>
        </is>
      </c>
      <c r="M77" s="24" t="inlineStr">
        <is>
          <t>Đạt. Lớp DocumentSessionPersistenceTest chứng minh tính bền vững của dữ liệu chat.</t>
        </is>
      </c>
      <c r="N77" s="24" t="n"/>
      <c r="O77" s="25" t="inlineStr">
        <is>
          <t>Nguyễn Huy Hải</t>
        </is>
      </c>
      <c r="P77" s="15" t="inlineStr">
        <is>
          <t>Lần đầu</t>
        </is>
      </c>
      <c r="Q77" s="26" t="inlineStr">
        <is>
          <t>Ngày 6</t>
        </is>
      </c>
      <c r="R77" s="15" t="inlineStr">
        <is>
          <t>S1/S2 (cao) - Lỗi ở chức năng chính hoặc bảo mật</t>
        </is>
      </c>
      <c r="S77" s="27" t="inlineStr">
        <is>
          <t>Đã kiểm tra</t>
        </is>
      </c>
      <c r="T77" s="15" t="inlineStr">
        <is>
          <t>Hoàn thành kiểm thử tích hợp, sẵn sàng kiểm thử hệ thống.</t>
        </is>
      </c>
    </row>
    <row r="78" ht="63.6" customHeight="1">
      <c r="A78" s="16" t="n">
        <v>70</v>
      </c>
      <c r="B78" s="17" t="inlineStr">
        <is>
          <t>IT-070</t>
        </is>
      </c>
      <c r="C78" s="18" t="inlineStr">
        <is>
          <t>Tính bền vững dữ liệu: Bảo toàn danh sách thông báo người dùng sau khi khởi động lại máy chủ</t>
        </is>
      </c>
      <c r="D78" s="18" t="inlineStr">
        <is>
          <t>Đảm bảo NotificationSessionPersistenceTest kiểm tra các thông báo chưa đọc được lưu trữ an toàn trong DB</t>
        </is>
      </c>
      <c r="E78" s="18" t="inlineStr">
        <is>
          <t>Tạo 3 thông báo mới cho người dùng</t>
        </is>
      </c>
      <c r="F78" s="18" t="inlineStr">
        <is>
          <t>Khởi động lại hoàn toàn máy chủ ứng dụng</t>
        </is>
      </c>
      <c r="G78" s="18" t="inlineStr">
        <is>
          <t>1. Kiểm tra thông báo trước khi restart.
2. Khởi động lại server.
3. Đăng nhập lại và kiểm tra chuông thông báo.</t>
        </is>
      </c>
      <c r="H78" s="18" t="inlineStr">
        <is>
          <t>Số lượng và nội dung thông báo hiển thị đầy đủ, không bị suy hao hoặc mất mát dữ liệu.</t>
        </is>
      </c>
      <c r="I78" s="16" t="inlineStr">
        <is>
          <t>P0</t>
        </is>
      </c>
      <c r="J78" s="16" t="inlineStr">
        <is>
          <t>S09 / R03</t>
        </is>
      </c>
      <c r="K78" s="21" t="inlineStr">
        <is>
          <t>Nguyễn Tuấn Minh</t>
        </is>
      </c>
      <c r="L78" s="23" t="inlineStr">
        <is>
          <t>Đạt</t>
        </is>
      </c>
      <c r="M78" s="24" t="inlineStr">
        <is>
          <t>Đạt. Lớp NotificationSessionPersistenceTest khẳng định dữ liệu thông báo an toàn.</t>
        </is>
      </c>
      <c r="N78" s="24" t="n"/>
      <c r="O78" s="25" t="inlineStr">
        <is>
          <t>Nguyễn Huy Hải</t>
        </is>
      </c>
      <c r="P78" s="15" t="inlineStr">
        <is>
          <t>Lần đầu</t>
        </is>
      </c>
      <c r="Q78" s="26" t="inlineStr">
        <is>
          <t>Ngày 6</t>
        </is>
      </c>
      <c r="R78" s="15" t="inlineStr">
        <is>
          <t>S1/S2 (cao) - Lỗi ở chức năng chính hoặc bảo mật</t>
        </is>
      </c>
      <c r="S78" s="27" t="inlineStr">
        <is>
          <t>Đã kiểm tra</t>
        </is>
      </c>
      <c r="T78" s="15" t="inlineStr">
        <is>
          <t>Hoàn thành kiểm thử tích hợp, sẵn sàng kiểm thử hệ thống.</t>
        </is>
      </c>
    </row>
    <row r="79" ht="63.6" customHeight="1">
      <c r="A79" s="16" t="n">
        <v>71</v>
      </c>
      <c r="B79" s="17" t="inlineStr">
        <is>
          <t>IT-071</t>
        </is>
      </c>
      <c r="C79" s="18" t="inlineStr">
        <is>
          <t>Kiến trúc hiển thị: Nạp đầy đủ các thuộc tính toàn cục (Global Model Attributes) vào View</t>
        </is>
      </c>
      <c r="D79" s="18" t="inlineStr">
        <is>
          <t>Đảm bảo GlobalModelAttributesTest kiểm tra currentUser, applicationName, unreadNotificationCount luôn có mặt</t>
        </is>
      </c>
      <c r="E79" s="18" t="inlineStr">
        <is>
          <t>Gửi request truy cập trang bất kỳ trong hệ thống</t>
        </is>
      </c>
      <c r="F79" s="18" t="inlineStr">
        <is>
          <t>Người dùng đã đăng nhập vào hệ thống</t>
        </is>
      </c>
      <c r="G79" s="18" t="inlineStr">
        <is>
          <t>1. Gửi GET request tới trang chủ /home.
2. Kiểm tra đối tượng Model của Spring MVC.</t>
        </is>
      </c>
      <c r="H79" s="18" t="inlineStr">
        <is>
          <t>Model chứa đầy đủ các thuộc tính toàn cục; header và footer render chính xác tên người dùng và chuông báo.</t>
        </is>
      </c>
      <c r="I79" s="16" t="inlineStr">
        <is>
          <t>P1</t>
        </is>
      </c>
      <c r="J79" s="16" t="inlineStr">
        <is>
          <t>S03 / R03</t>
        </is>
      </c>
      <c r="K79" s="21" t="inlineStr">
        <is>
          <t>Nguyễn Tuấn Minh</t>
        </is>
      </c>
      <c r="L79" s="23" t="inlineStr">
        <is>
          <t>Đạt</t>
        </is>
      </c>
      <c r="M79" s="24" t="inlineStr">
        <is>
          <t>Đạt. Lớp GlobalModelAttributesTest chạy thành công, nạp model toàn cục chuẩn.</t>
        </is>
      </c>
      <c r="N79" s="24" t="n"/>
      <c r="O79" s="25" t="inlineStr">
        <is>
          <t>Nguyễn Huy Hải</t>
        </is>
      </c>
      <c r="P79" s="15" t="inlineStr">
        <is>
          <t>Lần đầu</t>
        </is>
      </c>
      <c r="Q79" s="26" t="inlineStr">
        <is>
          <t>Ngày 6</t>
        </is>
      </c>
      <c r="R79" s="15" t="inlineStr">
        <is>
          <t>S2/S3 (vừa) - Lỗi ảnh hưởng trải nghiệm hoặc hiệu năng</t>
        </is>
      </c>
      <c r="S79" s="27" t="inlineStr">
        <is>
          <t>Đã kiểm tra</t>
        </is>
      </c>
      <c r="T79" s="15" t="inlineStr">
        <is>
          <t>Hoàn thành kiểm thử tích hợp, sẵn sàng kiểm thử hệ thống.</t>
        </is>
      </c>
    </row>
    <row r="80" ht="63.6" customHeight="1">
      <c r="A80" s="16" t="n">
        <v>72</v>
      </c>
      <c r="B80" s="17" t="inlineStr">
        <is>
          <t>IT-072</t>
        </is>
      </c>
      <c r="C80" s="18" t="inlineStr">
        <is>
          <t>Hạ tầng cơ sở dữ liệu: Chạy kịch bản cập nhật Flyway trên profile MySQL thực tế</t>
        </is>
      </c>
      <c r="D80" s="18" t="inlineStr">
        <is>
          <t>Đảm bảo MysqlProfileMigrationTest kiểm tra toàn bộ 8 tệp kịch bản V1 đến V8 chạy trơn tru trên MySQL</t>
        </is>
      </c>
      <c r="E80" s="18" t="inlineStr">
        <is>
          <t>Cơ sở dữ liệu MySQL cấu hình theo profile test</t>
        </is>
      </c>
      <c r="F80" s="18" t="inlineStr">
        <is>
          <t>Các tệp migration từ V1__initial_schema.sql đến V8__rag_embeddings.sql</t>
        </is>
      </c>
      <c r="G80" s="18" t="inlineStr">
        <is>
          <t>1. Kích hoạt profile test với kết nối MySQL.
2. Chạy migration của Flyway.
3. Kiểm tra cấu trúc các bảng tạo ra.</t>
        </is>
      </c>
      <c r="H80" s="18" t="inlineStr">
        <is>
          <t>Tất cả các câu lệnh DDL thực thi thành công; kiểu dữ liệu và khóa ngoại tạo đúng chuẩn thiết kế ERD.</t>
        </is>
      </c>
      <c r="I80" s="16" t="inlineStr">
        <is>
          <t>P0</t>
        </is>
      </c>
      <c r="J80" s="16" t="inlineStr">
        <is>
          <t>S10 / R01</t>
        </is>
      </c>
      <c r="K80" s="21" t="inlineStr">
        <is>
          <t>Nguyễn Tuấn Minh</t>
        </is>
      </c>
      <c r="L80" s="23" t="inlineStr">
        <is>
          <t>Đạt</t>
        </is>
      </c>
      <c r="M80" s="24" t="inlineStr">
        <is>
          <t>Đạt. Lớp MysqlProfileMigrationTest chạy thành công 2/2 bài kiểm tra migration.</t>
        </is>
      </c>
      <c r="N80" s="24" t="n"/>
      <c r="O80" s="25" t="inlineStr">
        <is>
          <t>Nguyễn Huy Hải</t>
        </is>
      </c>
      <c r="P80" s="15" t="inlineStr">
        <is>
          <t>Lần đầu</t>
        </is>
      </c>
      <c r="Q80" s="26" t="inlineStr">
        <is>
          <t>Ngày 6</t>
        </is>
      </c>
      <c r="R80" s="15" t="inlineStr">
        <is>
          <t>S1/S2 (cao) - Lỗi ở chức năng chính hoặc bảo mật</t>
        </is>
      </c>
      <c r="S80" s="27" t="inlineStr">
        <is>
          <t>Đã kiểm tra</t>
        </is>
      </c>
      <c r="T80" s="15" t="inlineStr">
        <is>
          <t>Hoàn thành kiểm thử tích hợp, sẵn sàng kiểm thử hệ thống.</t>
        </is>
      </c>
    </row>
    <row r="81" ht="63.6" customHeight="1">
      <c r="A81" s="16" t="n">
        <v>73</v>
      </c>
      <c r="B81" s="17" t="inlineStr">
        <is>
          <t>IT-073</t>
        </is>
      </c>
      <c r="C81" s="18" t="inlineStr">
        <is>
          <t>Cấu hình môi trường: Liên kết chính xác các biến môi trường nhạy cảm vào lớp Properties</t>
        </is>
      </c>
      <c r="D81" s="18" t="inlineStr">
        <is>
          <t>Đảm bảo ProductionPropertiesBindingTest kiểm tra các khóa API, thông tin mail và kết nối DB được bind chuẩn xác</t>
        </is>
      </c>
      <c r="E81" s="18" t="inlineStr">
        <is>
          <t>Thiết lập các biến môi trường mẫu trong Environment</t>
        </is>
      </c>
      <c r="F81" s="18" t="inlineStr">
        <is>
          <t>Các biến RAG_API_KEY, SPRING_MAIL_HOST, SPRING_DATASOURCE_URL</t>
        </is>
      </c>
      <c r="G81" s="18" t="inlineStr">
        <is>
          <t>1. Khởi động context với biến môi trường giả lập.
2. Đọc giá trị từ các bean @ConfigurationProperties.</t>
        </is>
      </c>
      <c r="H81" s="18" t="inlineStr">
        <is>
          <t>Các trường trong bean hứng đúng giá trị biến môi trường; không bị gán giá trị mặc định thiếu an toàn.</t>
        </is>
      </c>
      <c r="I81" s="16" t="inlineStr">
        <is>
          <t>P0</t>
        </is>
      </c>
      <c r="J81" s="16" t="inlineStr">
        <is>
          <t>S10 / R01</t>
        </is>
      </c>
      <c r="K81" s="21" t="inlineStr">
        <is>
          <t>Nguyễn Tuấn Minh</t>
        </is>
      </c>
      <c r="L81" s="23" t="inlineStr">
        <is>
          <t>Đạt</t>
        </is>
      </c>
      <c r="M81" s="24" t="inlineStr">
        <is>
          <t>Đạt. Lớp ProductionPropertiesBindingTest chạy thành công 2/2 bài test cấu hình.</t>
        </is>
      </c>
      <c r="N81" s="24" t="n"/>
      <c r="O81" s="25" t="inlineStr">
        <is>
          <t>Nguyễn Huy Hải</t>
        </is>
      </c>
      <c r="P81" s="15" t="inlineStr">
        <is>
          <t>Lần đầu</t>
        </is>
      </c>
      <c r="Q81" s="26" t="inlineStr">
        <is>
          <t>Ngày 6</t>
        </is>
      </c>
      <c r="R81" s="15" t="inlineStr">
        <is>
          <t>S1/S2 (cao) - Lỗi ở chức năng chính hoặc bảo mật</t>
        </is>
      </c>
      <c r="S81" s="27" t="inlineStr">
        <is>
          <t>Đã kiểm tra</t>
        </is>
      </c>
      <c r="T81" s="15" t="inlineStr">
        <is>
          <t>Hoàn thành kiểm thử tích hợp, sẵn sàng kiểm thử hệ thống.</t>
        </is>
      </c>
    </row>
    <row r="82" ht="63.6" customHeight="1">
      <c r="A82" s="16" t="n">
        <v>74</v>
      </c>
      <c r="B82" s="17" t="inlineStr">
        <is>
          <t>IT-074</t>
        </is>
      </c>
      <c r="C82" s="18" t="inlineStr">
        <is>
          <t>Hiển thị trang tĩnh: Render Thymeleaf các trang công khai đảm bảo không có lỗi phân giải cú pháp</t>
        </is>
      </c>
      <c r="D82" s="18" t="inlineStr">
        <is>
          <t>Đảm bảo PublicPagesRenderingTest kiểm tra các trang Giới thiệu, Liên hệ, Điều khoản tải mượt mà</t>
        </is>
      </c>
      <c r="E82" s="18" t="inlineStr">
        <is>
          <t>Khởi tạo Spring MVC Test</t>
        </is>
      </c>
      <c r="F82" s="18" t="inlineStr">
        <is>
          <t>Các URL: /about, /contact, /terms, /privacy</t>
        </is>
      </c>
      <c r="G82" s="18" t="inlineStr">
        <is>
          <t>1. Lần lượt gửi GET request tới từng URL trang tĩnh.
2. Kiểm tra mã phản hồi và nội dung HTML trả về.</t>
        </is>
      </c>
      <c r="H82" s="18" t="inlineStr">
        <is>
          <t>HTTP 200 cho tất cả các trang; các thẻ layout Thymeleaf kết xuất hoàn hảo, không có lỗi phân giải biểu thức.</t>
        </is>
      </c>
      <c r="I82" s="16" t="inlineStr">
        <is>
          <t>P1</t>
        </is>
      </c>
      <c r="J82" s="16" t="inlineStr">
        <is>
          <t>S03 / R03</t>
        </is>
      </c>
      <c r="K82" s="21" t="inlineStr">
        <is>
          <t>Nguyễn Tuấn Minh</t>
        </is>
      </c>
      <c r="L82" s="23" t="inlineStr">
        <is>
          <t>Đạt</t>
        </is>
      </c>
      <c r="M82" s="24" t="inlineStr">
        <is>
          <t>Đạt. Lớp PublicPagesRenderingTest chạy thành công 3/3 bài kiểm thử render view.</t>
        </is>
      </c>
      <c r="N82" s="24" t="n"/>
      <c r="O82" s="25" t="inlineStr">
        <is>
          <t>Nguyễn Huy Hải</t>
        </is>
      </c>
      <c r="P82" s="15" t="inlineStr">
        <is>
          <t>Lần đầu</t>
        </is>
      </c>
      <c r="Q82" s="26" t="inlineStr">
        <is>
          <t>Ngày 6</t>
        </is>
      </c>
      <c r="R82" s="15" t="inlineStr">
        <is>
          <t>S2/S3 (vừa) - Lỗi ảnh hưởng trải nghiệm hoặc hiệu năng</t>
        </is>
      </c>
      <c r="S82" s="27" t="inlineStr">
        <is>
          <t>Đã kiểm tra</t>
        </is>
      </c>
      <c r="T82" s="15" t="inlineStr">
        <is>
          <t>Hoàn thành kiểm thử tích hợp, sẵn sàng kiểm thử hệ thống.</t>
        </is>
      </c>
    </row>
    <row r="83" ht="63.6" customHeight="1">
      <c r="A83" s="16" t="n">
        <v>75</v>
      </c>
      <c r="B83" s="17" t="inlineStr">
        <is>
          <t>IT-075</t>
        </is>
      </c>
      <c r="C83" s="18" t="inlineStr">
        <is>
          <t>Kiểm toán đăng nhập: Tự động ghi lại nhật ký khi người dùng đăng nhập thành công và thất bại</t>
        </is>
      </c>
      <c r="D83" s="18" t="inlineStr">
        <is>
          <t>Đảm bảo AuditLoginIntegrationTest kiểm tra việc lưu thông tin đăng nhập vào bảng audit_logs</t>
        </is>
      </c>
      <c r="E83" s="18" t="inlineStr">
        <is>
          <t>Thực hiện 1 lần đăng nhập thành công và 1 lần đăng nhập sai mật khẩu</t>
        </is>
      </c>
      <c r="F83" s="18" t="inlineStr">
        <is>
          <t>Địa chỉ IP người gửi request '127.0.0.1'</t>
        </is>
      </c>
      <c r="G83" s="18" t="inlineStr">
        <is>
          <t>1. Gửi form đăng nhập đúng và sai.
2. Truy vấn bảng audit_logs trong CSDL.</t>
        </is>
      </c>
      <c r="H83" s="18" t="inlineStr">
        <is>
          <t>Ghi nhận 2 bản ghi: LOGIN_SUCCESS và LOGIN_FAILURE kèm đầy đủ timestamp, IP và email người dùng.</t>
        </is>
      </c>
      <c r="I83" s="16" t="inlineStr">
        <is>
          <t>P0</t>
        </is>
      </c>
      <c r="J83" s="16" t="inlineStr">
        <is>
          <t>S02 / R01</t>
        </is>
      </c>
      <c r="K83" s="21" t="inlineStr">
        <is>
          <t>Nguyễn Tuấn Minh</t>
        </is>
      </c>
      <c r="L83" s="23" t="inlineStr">
        <is>
          <t>Đạt</t>
        </is>
      </c>
      <c r="M83" s="24" t="inlineStr">
        <is>
          <t>Đạt. Lớp AuditLoginIntegrationTest ghi vết đầy đủ sự kiện đăng nhập hệ thống.</t>
        </is>
      </c>
      <c r="N83" s="24" t="n"/>
      <c r="O83" s="25" t="inlineStr">
        <is>
          <t>Nguyễn Huy Hải</t>
        </is>
      </c>
      <c r="P83" s="15" t="inlineStr">
        <is>
          <t>Lần đầu</t>
        </is>
      </c>
      <c r="Q83" s="26" t="inlineStr">
        <is>
          <t>Ngày 6</t>
        </is>
      </c>
      <c r="R83" s="15" t="inlineStr">
        <is>
          <t>S1/S2 (cao) - Lỗi ở chức năng chính hoặc bảo mật</t>
        </is>
      </c>
      <c r="S83" s="27" t="inlineStr">
        <is>
          <t>Đã kiểm tra</t>
        </is>
      </c>
      <c r="T83" s="15" t="inlineStr">
        <is>
          <t>Hoàn thành kiểm thử tích hợp, sẵn sàng kiểm thử hệ thống.</t>
        </is>
      </c>
    </row>
    <row r="84" ht="63.6" customHeight="1">
      <c r="A84" s="16" t="n">
        <v>76</v>
      </c>
      <c r="B84" s="17" t="inlineStr">
        <is>
          <t>IT-076</t>
        </is>
      </c>
      <c r="C84" s="18" t="inlineStr">
        <is>
          <t>Kiểm toán phân quyền: Tự động ghi lại nhật ký khi Quản trị viên thay đổi vai trò của tài khoản</t>
        </is>
      </c>
      <c r="D84" s="18" t="inlineStr">
        <is>
          <t>Đảm bảo AuditLogIntegrationTest kiểm tra việc lưu vết sự kiện thay đổi quyền lực trong hệ thống</t>
        </is>
      </c>
      <c r="E84" s="18" t="inlineStr">
        <is>
          <t>Admin thực hiện nâng cấp tài khoản của sinh viên lên ROLE_REVIEWER</t>
        </is>
      </c>
      <c r="F84" s="18" t="inlineStr">
        <is>
          <t>Gửi lệnh cập nhật quyền qua giao diện quản trị</t>
        </is>
      </c>
      <c r="G84" s="18" t="inlineStr">
        <is>
          <t>1. Thực thi thao tác thay đổi quyền.
2. Kiểm tra bản ghi kiểm toán mới sinh ra.</t>
        </is>
      </c>
      <c r="H84" s="18" t="inlineStr">
        <is>
          <t>Bản ghi lưu rõ người thực hiện (Admin), đối tượng thay đổi (User), hành động ROLE_CHANGED và chi tiết quyền mới.</t>
        </is>
      </c>
      <c r="I84" s="16" t="inlineStr">
        <is>
          <t>P0</t>
        </is>
      </c>
      <c r="J84" s="16" t="inlineStr">
        <is>
          <t>S02 / R01</t>
        </is>
      </c>
      <c r="K84" s="21" t="inlineStr">
        <is>
          <t>Nguyễn Tuấn Minh</t>
        </is>
      </c>
      <c r="L84" s="23" t="inlineStr">
        <is>
          <t>Đạt</t>
        </is>
      </c>
      <c r="M84" s="24" t="inlineStr">
        <is>
          <t>Đạt. Lớp AuditLogIntegrationTest chạy thành công 7/7 bài kiểm toán an ninh.</t>
        </is>
      </c>
      <c r="N84" s="24" t="n"/>
      <c r="O84" s="25" t="inlineStr">
        <is>
          <t>Nguyễn Huy Hải</t>
        </is>
      </c>
      <c r="P84" s="15" t="inlineStr">
        <is>
          <t>Lần đầu</t>
        </is>
      </c>
      <c r="Q84" s="26" t="inlineStr">
        <is>
          <t>Ngày 6</t>
        </is>
      </c>
      <c r="R84" s="15" t="inlineStr">
        <is>
          <t>S1/S2 (cao) - Lỗi ở chức năng chính hoặc bảo mật</t>
        </is>
      </c>
      <c r="S84" s="27" t="inlineStr">
        <is>
          <t>Đã kiểm tra</t>
        </is>
      </c>
      <c r="T84" s="15" t="inlineStr">
        <is>
          <t>Hoàn thành kiểm thử tích hợp, sẵn sàng kiểm thử hệ thống.</t>
        </is>
      </c>
    </row>
    <row r="85" ht="63.6" customHeight="1">
      <c r="A85" s="16" t="n">
        <v>77</v>
      </c>
      <c r="B85" s="17" t="inlineStr">
        <is>
          <t>IT-077</t>
        </is>
      </c>
      <c r="C85" s="18" t="inlineStr">
        <is>
          <t>Dịch vụ gửi thư điện tử: Giả lập gửi email thông báo phê duyệt học liệu tới hộp thư của tác giả</t>
        </is>
      </c>
      <c r="D85" s="18" t="inlineStr">
        <is>
          <t>Đảm bảo EmailService định dạng đúng nội dung thư HTML và gọi JavaMailSender truyền tải không lỗi</t>
        </is>
      </c>
      <c r="E85" s="18" t="inlineStr">
        <is>
          <t>Sử dụng Mock JavaMailSender trong môi trường test</t>
        </is>
      </c>
      <c r="F85" s="18" t="inlineStr">
        <is>
          <t>Email tác giả 'tacgia@edurepo.edu.vn', tiêu đề tài liệu 'Giáo trình CSDL'</t>
        </is>
      </c>
      <c r="G85" s="18" t="inlineStr">
        <is>
          <t>1. Gọi hàm emailService.sendApprovalEmail().
2. Bắt gói tin MimeMessage được tạo ra.</t>
        </is>
      </c>
      <c r="H85" s="18" t="inlineStr">
        <is>
          <t>JavaMailSender tiếp nhận gói tin; tiêu đề và nội dung thư HTML chứa đầy đủ link bài viết và lời chúc mừng.</t>
        </is>
      </c>
      <c r="I85" s="16" t="inlineStr">
        <is>
          <t>P1</t>
        </is>
      </c>
      <c r="J85" s="16" t="inlineStr">
        <is>
          <t>S09 / R02</t>
        </is>
      </c>
      <c r="K85" s="21" t="inlineStr">
        <is>
          <t>Nguyễn Tuấn Minh</t>
        </is>
      </c>
      <c r="L85" s="23" t="inlineStr">
        <is>
          <t>Đạt</t>
        </is>
      </c>
      <c r="M85" s="24" t="inlineStr">
        <is>
          <t>Đạt. Lớp EmailServiceTest kiểm tra định dạng thư và tiến trình gửi đạt yêu cầu.</t>
        </is>
      </c>
      <c r="N85" s="24" t="n"/>
      <c r="O85" s="25" t="inlineStr">
        <is>
          <t>Nguyễn Huy Hải</t>
        </is>
      </c>
      <c r="P85" s="15" t="inlineStr">
        <is>
          <t>Lần đầu</t>
        </is>
      </c>
      <c r="Q85" s="26" t="inlineStr">
        <is>
          <t>Ngày 6</t>
        </is>
      </c>
      <c r="R85" s="15" t="inlineStr">
        <is>
          <t>S2/S3 (vừa) - Lỗi ảnh hưởng trải nghiệm hoặc hiệu năng</t>
        </is>
      </c>
      <c r="S85" s="27" t="inlineStr">
        <is>
          <t>Đã kiểm tra</t>
        </is>
      </c>
      <c r="T85" s="15" t="inlineStr">
        <is>
          <t>Hoàn thành kiểm thử tích hợp, sẵn sàng kiểm thử hệ thống.</t>
        </is>
      </c>
    </row>
    <row r="86" ht="63.6" customHeight="1">
      <c r="A86" s="16" t="n">
        <v>78</v>
      </c>
      <c r="B86" s="17" t="inlineStr">
        <is>
          <t>IT-078</t>
        </is>
      </c>
      <c r="C86" s="18" t="inlineStr">
        <is>
          <t>Kết nối thời gian thực: Duy trì tín hiệu giữ kết nối (Keep-alive Ping) cho kênh truyền SSE</t>
        </is>
      </c>
      <c r="D86" s="18" t="inlineStr">
        <is>
          <t>Đảm bảo RealtimeService định kỳ gửi gói tin ping để ngăn chặn ngắt kết nối do timeout của Proxy/Firewall</t>
        </is>
      </c>
      <c r="E86" s="18" t="inlineStr">
        <is>
          <t>Kết nối SSE đang hoạt động giữa trình duyệt và máy chủ</t>
        </is>
      </c>
      <c r="F86" s="18" t="inlineStr">
        <is>
          <t>Thiết lập nhịp phát tín hiệu ping mỗi 30 giây</t>
        </is>
      </c>
      <c r="G86" s="18" t="inlineStr">
        <is>
          <t>1. Mở kênh kết nối SSE.
2. Lắng nghe gói tin trong vòng 35 giây.
3. Kiểm tra gói tin nhận được.</t>
        </is>
      </c>
      <c r="H86" s="18" t="inlineStr">
        <is>
          <t>Nhận được gói tin comment ': keep-alive'; kết nối duy trì thông suốt không bị timeout.</t>
        </is>
      </c>
      <c r="I86" s="16" t="inlineStr">
        <is>
          <t>P1</t>
        </is>
      </c>
      <c r="J86" s="16" t="inlineStr">
        <is>
          <t>S09 / R03</t>
        </is>
      </c>
      <c r="K86" s="21" t="inlineStr">
        <is>
          <t>Nguyễn Tuấn Minh</t>
        </is>
      </c>
      <c r="L86" s="23" t="inlineStr">
        <is>
          <t>Đạt</t>
        </is>
      </c>
      <c r="M86" s="24" t="inlineStr">
        <is>
          <t>Đạt. Cơ chế keep-alive đảm bảo đường truyền thời gian thực ổn định lâu dài.</t>
        </is>
      </c>
      <c r="N86" s="24" t="n"/>
      <c r="O86" s="25" t="inlineStr">
        <is>
          <t>Nguyễn Huy Hải</t>
        </is>
      </c>
      <c r="P86" s="15" t="inlineStr">
        <is>
          <t>Lần đầu</t>
        </is>
      </c>
      <c r="Q86" s="26" t="inlineStr">
        <is>
          <t>Ngày 6</t>
        </is>
      </c>
      <c r="R86" s="15" t="inlineStr">
        <is>
          <t>S2/S3 (vừa) - Lỗi ảnh hưởng trải nghiệm hoặc hiệu năng</t>
        </is>
      </c>
      <c r="S86" s="27" t="inlineStr">
        <is>
          <t>Đã kiểm tra</t>
        </is>
      </c>
      <c r="T86" s="15" t="inlineStr">
        <is>
          <t>Hoàn thành kiểm thử tích hợp, sẵn sàng kiểm thử hệ thống.</t>
        </is>
      </c>
    </row>
    <row r="87" ht="63.6" customHeight="1">
      <c r="A87" s="16" t="n">
        <v>79</v>
      </c>
      <c r="B87" s="17" t="inlineStr">
        <is>
          <t>IT-079</t>
        </is>
      </c>
      <c r="C87" s="18" t="inlineStr">
        <is>
          <t>Khởi tạo dữ liệu mẫu: Tự động nạp danh mục khoa viện và tài khoản mẫu vào CSDL trắng</t>
        </is>
      </c>
      <c r="D87" s="18" t="inlineStr">
        <is>
          <t>Đảm bảo SampleDataServiceTest kiểm tra việc nạp dữ liệu ban đầu khi khởi động ứng dụng lần đầu tiên</t>
        </is>
      </c>
      <c r="E87" s="18" t="inlineStr">
        <is>
          <t>Cơ sở dữ liệu hoàn toàn chưa có dữ liệu danh mục</t>
        </is>
      </c>
      <c r="F87" s="18" t="inlineStr">
        <is>
          <t>Thực thi luồng khởi động SampleDataService</t>
        </is>
      </c>
      <c r="G87" s="18" t="inlineStr">
        <is>
          <t>1. Kích hoạt SampleDataService.
2. Kiểm tra số lượng bản ghi trong các bảng faculties, subjects và users.</t>
        </is>
      </c>
      <c r="H87" s="18" t="inlineStr">
        <is>
          <t>Nạp thành công 5 khoa, 15 môn học và 4 tài khoản mẫu (Admin, Reviewer, Submitter, User).</t>
        </is>
      </c>
      <c r="I87" s="16" t="inlineStr">
        <is>
          <t>P1</t>
        </is>
      </c>
      <c r="J87" s="16" t="inlineStr">
        <is>
          <t>S10 / R03</t>
        </is>
      </c>
      <c r="K87" s="21" t="inlineStr">
        <is>
          <t>Nguyễn Tuấn Minh</t>
        </is>
      </c>
      <c r="L87" s="23" t="inlineStr">
        <is>
          <t>Đạt</t>
        </is>
      </c>
      <c r="M87" s="24" t="inlineStr">
        <is>
          <t>Đạt. Lớp SampleDataServiceTest khởi tạo môi trường dữ liệu mẫu đầy đủ.</t>
        </is>
      </c>
      <c r="N87" s="24" t="n"/>
      <c r="O87" s="25" t="inlineStr">
        <is>
          <t>Nguyễn Huy Hải</t>
        </is>
      </c>
      <c r="P87" s="15" t="inlineStr">
        <is>
          <t>Lần đầu</t>
        </is>
      </c>
      <c r="Q87" s="26" t="inlineStr">
        <is>
          <t>Ngày 6</t>
        </is>
      </c>
      <c r="R87" s="15" t="inlineStr">
        <is>
          <t>S2/S3 (vừa) - Lỗi ảnh hưởng trải nghiệm hoặc hiệu năng</t>
        </is>
      </c>
      <c r="S87" s="27" t="inlineStr">
        <is>
          <t>Đã kiểm tra</t>
        </is>
      </c>
      <c r="T87" s="15" t="inlineStr">
        <is>
          <t>Hoàn thành kiểm thử tích hợp, sẵn sàng kiểm thử hệ thống.</t>
        </is>
      </c>
    </row>
    <row r="88" ht="58.2" customHeight="1">
      <c r="A88" s="16" t="n">
        <v>80</v>
      </c>
      <c r="B88" s="17" t="inlineStr">
        <is>
          <t>IT-080</t>
        </is>
      </c>
      <c r="C88" s="18" t="inlineStr">
        <is>
          <t>Tìm kiếm học liệu tiếng Việt: Tra cứu từ khóa không dấu khớp chính xác với tài liệu có dấu</t>
        </is>
      </c>
      <c r="D88" s="18" t="inlineStr">
        <is>
          <t>Đảm bảo tích hợp giữa SearchTextNormalizer và câu lệnh truy vấn SQL tìm kiếm tài liệu chính xác</t>
        </is>
      </c>
      <c r="E88" s="18" t="inlineStr">
        <is>
          <t>Cơ sở dữ liệu chứa tài liệu 'Lập trình Hướng đối tượng với Java'</t>
        </is>
      </c>
      <c r="F88" s="18" t="inlineStr">
        <is>
          <t>Từ khóa tìm kiếm do người dùng gõ: 'lap trinh huong doi tuong'</t>
        </is>
      </c>
      <c r="G88" s="18" t="inlineStr">
        <is>
          <t>1. Gửi request tìm kiếm với từ khóa không dấu.
2. Kiểm tra danh sách tài liệu trả về.</t>
        </is>
      </c>
      <c r="H88" s="18" t="inlineStr">
        <is>
          <t>Kết quả trả về chính xác tài liệu 'Lập trình Hướng đối tượng với Java'; độ bao phủ tìm kiếm đạt 100%.</t>
        </is>
      </c>
      <c r="I88" s="16" t="inlineStr">
        <is>
          <t>P0</t>
        </is>
      </c>
      <c r="J88" s="16" t="inlineStr">
        <is>
          <t>S07 / R02</t>
        </is>
      </c>
      <c r="K88" s="21" t="inlineStr">
        <is>
          <t>Nguyễn Tuấn Minh</t>
        </is>
      </c>
      <c r="L88" s="23" t="inlineStr">
        <is>
          <t>Đạt</t>
        </is>
      </c>
      <c r="M88" s="24" t="inlineStr">
        <is>
          <t>Đạt. Tìm kiếm tiếng Việt không dấu hoạt động đồng bộ giữa ứng dụng và CSDL.</t>
        </is>
      </c>
      <c r="N88" s="24" t="n"/>
      <c r="O88" s="25" t="inlineStr">
        <is>
          <t>Nguyễn Huy Hải</t>
        </is>
      </c>
      <c r="P88" s="15" t="inlineStr">
        <is>
          <t>Lần đầu</t>
        </is>
      </c>
      <c r="Q88" s="26" t="inlineStr">
        <is>
          <t>Ngày 6</t>
        </is>
      </c>
      <c r="R88" s="15" t="inlineStr">
        <is>
          <t>S1/S2 (cao) - Lỗi ở chức năng chính hoặc bảo mật</t>
        </is>
      </c>
      <c r="S88" s="27" t="inlineStr">
        <is>
          <t>Đã kiểm tra</t>
        </is>
      </c>
      <c r="T88" s="15" t="inlineStr">
        <is>
          <t>Hoàn thành kiểm thử tích hợp, sẵn sàng kiểm thử hệ thống.</t>
        </is>
      </c>
    </row>
    <row r="89" ht="54" customHeight="1">
      <c r="A89" s="16" t="n">
        <v>81</v>
      </c>
      <c r="B89" s="17" t="inlineStr">
        <is>
          <t>IT-081</t>
        </is>
      </c>
      <c r="C89" s="18" t="inlineStr">
        <is>
          <t>Kiểm thử phục hồi dữ liệu: Đảm bảo tính toàn vẹn của dữ liệu sau kịch bản tắt đột ngột</t>
        </is>
      </c>
      <c r="D89" s="18" t="inlineStr">
        <is>
          <t>Đảm bảo PersistenceRestartIntegrationTest kiểm tra CSDL không bị hỏng bảng sau khi máy chủ dừng đột ngột</t>
        </is>
      </c>
      <c r="E89" s="18" t="inlineStr">
        <is>
          <t>Hệ thống đang phục vụ các thao tác ghi dữ liệu</t>
        </is>
      </c>
      <c r="F89" s="18" t="inlineStr">
        <is>
          <t>Mô phỏng ngắt tiến trình ứng dụng và khởi động lại</t>
        </is>
      </c>
      <c r="G89" s="18" t="inlineStr">
        <is>
          <t>1. Tạo dữ liệu tài liệu mới.
2. Thực hiện khởi động lại cưỡng bức.
3. Kiểm tra tính toàn vẹn của bản ghi vừa tạo.</t>
        </is>
      </c>
      <c r="H89" s="18" t="inlineStr">
        <is>
          <t>Dữ liệu được bảo toàn nguyên vẹn; các liên kết khóa ngoại và chỉ mục cơ sở dữ liệu hoàn toàn bình thường.</t>
        </is>
      </c>
      <c r="I89" s="16" t="inlineStr">
        <is>
          <t>P0</t>
        </is>
      </c>
      <c r="J89" s="16" t="inlineStr">
        <is>
          <t>S10 / R01</t>
        </is>
      </c>
      <c r="K89" s="21" t="inlineStr">
        <is>
          <t>Nguyễn Tuấn Minh</t>
        </is>
      </c>
      <c r="L89" s="23" t="inlineStr">
        <is>
          <t>Đạt</t>
        </is>
      </c>
      <c r="M89" s="24" t="inlineStr">
        <is>
          <t>Đạt. Lớp PersistenceRestartIntegrationTest hoàn tất kiểm định tính bền vững.</t>
        </is>
      </c>
      <c r="N89" s="24" t="n"/>
      <c r="O89" s="25" t="inlineStr">
        <is>
          <t>Nguyễn Huy Hải</t>
        </is>
      </c>
      <c r="P89" s="15" t="inlineStr">
        <is>
          <t>Lần đầu</t>
        </is>
      </c>
      <c r="Q89" s="26" t="inlineStr">
        <is>
          <t>Ngày 6</t>
        </is>
      </c>
      <c r="R89" s="15" t="inlineStr">
        <is>
          <t>S1/S2 (cao) - Lỗi ở chức năng chính hoặc bảo mật</t>
        </is>
      </c>
      <c r="S89" s="27" t="inlineStr">
        <is>
          <t>Đã kiểm tra</t>
        </is>
      </c>
      <c r="T89" s="15" t="inlineStr">
        <is>
          <t>Hoàn thành kiểm thử tích hợp, sẵn sàng kiểm thử hệ thống.</t>
        </is>
      </c>
    </row>
    <row r="90" ht="15.75" customHeight="1">
      <c r="A90" s="16" t="n">
        <v>82</v>
      </c>
      <c r="B90" s="17" t="inlineStr">
        <is>
          <t>IT-082</t>
        </is>
      </c>
      <c r="C90" s="18" t="inlineStr">
        <is>
          <t>Kiểm thử tích hợp AuthController: Đăng nhập thành công chuyển hướng trang đích (Kịch bản tích hợp #82)</t>
        </is>
      </c>
      <c r="D90" s="18" t="inlineStr">
        <is>
          <t>Gửi POST /login với thông tin hợp lệ, tạo phiên và chuyển hướng</t>
        </is>
      </c>
      <c r="E90" s="18" t="inlineStr">
        <is>
          <t>Tài khoản active trong MySQL, MockMvc sẵn sàng</t>
        </is>
      </c>
      <c r="F90" s="18" t="inlineStr">
        <is>
          <t>user='submitter@edurepo.local', password='test-only'</t>
        </is>
      </c>
      <c r="G90" s="18" t="inlineStr">
        <is>
          <t>1. Gửi request POST /login kèm CSRF token.
2. Kiểm tra mã phản hồi HTTP và URL redirect.</t>
        </is>
      </c>
      <c r="H90" s="18" t="inlineStr">
        <is>
          <t>HTTP 302 Redirect về /documents; session được thiết lập với CustomUserPrincipal.</t>
        </is>
      </c>
      <c r="I90" s="16" t="inlineStr">
        <is>
          <t>P0</t>
        </is>
      </c>
      <c r="J90" s="16" t="inlineStr">
        <is>
          <t>S01 / R01</t>
        </is>
      </c>
      <c r="K90" s="21" t="inlineStr">
        <is>
          <t>Nguyễn Tuấn Minh</t>
        </is>
      </c>
      <c r="L90" s="23" t="inlineStr">
        <is>
          <t>Đạt</t>
        </is>
      </c>
      <c r="M90" s="24" t="inlineStr">
        <is>
          <t>Đạt 100%. Kiểm thử tích hợp chạy thành công trên MockMvc / Testcontainers, kịch bản #82.</t>
        </is>
      </c>
      <c r="N90" s="24" t="n"/>
      <c r="O90" s="25" t="inlineStr">
        <is>
          <t>Nguyễn Huy Hải</t>
        </is>
      </c>
      <c r="P90" s="15" t="inlineStr">
        <is>
          <t>Lần đầu</t>
        </is>
      </c>
      <c r="Q90" s="26" t="inlineStr">
        <is>
          <t>Ngày 6</t>
        </is>
      </c>
      <c r="R90" s="15" t="inlineStr">
        <is>
          <t>S1/S2 (cao) - Lỗi ở chức năng chính hoặc bảo mật</t>
        </is>
      </c>
      <c r="S90" s="27" t="inlineStr">
        <is>
          <t>Đã kiểm tra</t>
        </is>
      </c>
      <c r="T90" s="15" t="inlineStr">
        <is>
          <t>Hoàn thành kiểm thử tích hợp, sẵn sàng kiểm thử hệ thống.</t>
        </is>
      </c>
    </row>
    <row r="91" ht="15.75" customHeight="1">
      <c r="A91" s="16" t="n">
        <v>83</v>
      </c>
      <c r="B91" s="17" t="inlineStr">
        <is>
          <t>IT-083</t>
        </is>
      </c>
      <c r="C91" s="18" t="inlineStr">
        <is>
          <t>Kiểm thử tích hợp AuthController: Đăng nhập sai mật khẩu báo lỗi an toàn (Kịch bản tích hợp #83)</t>
        </is>
      </c>
      <c r="D91" s="18" t="inlineStr">
        <is>
          <t>Từ chối đăng nhập khi sai pass, redirect về /login?error mà không lộ stack trace</t>
        </is>
      </c>
      <c r="E91" s="18" t="inlineStr">
        <is>
          <t>Tài khoản có trong DB</t>
        </is>
      </c>
      <c r="F91" s="18" t="inlineStr">
        <is>
          <t>user='submitter@edurepo.local', password='wrong-password'</t>
        </is>
      </c>
      <c r="G91" s="18" t="inlineStr">
        <is>
          <t>1. Gửi request POST /login với mật khẩu sai.
2. Kiểm tra URL redirect.</t>
        </is>
      </c>
      <c r="H91" s="18" t="inlineStr">
        <is>
          <t>HTTP 302 Redirect về /login?error, hiển thị thông báo lỗi thân thiện.</t>
        </is>
      </c>
      <c r="I91" s="16" t="inlineStr">
        <is>
          <t>P0</t>
        </is>
      </c>
      <c r="J91" s="16" t="inlineStr">
        <is>
          <t>S01 / R01</t>
        </is>
      </c>
      <c r="K91" s="21" t="inlineStr">
        <is>
          <t>Nguyễn Tuấn Minh</t>
        </is>
      </c>
      <c r="L91" s="23" t="inlineStr">
        <is>
          <t>Đạt</t>
        </is>
      </c>
      <c r="M91" s="24" t="inlineStr">
        <is>
          <t>Đạt 100%. Kiểm thử tích hợp chạy thành công trên MockMvc / Testcontainers, kịch bản #83.</t>
        </is>
      </c>
      <c r="N91" s="24" t="n"/>
      <c r="O91" s="25" t="inlineStr">
        <is>
          <t>Nguyễn Huy Hải</t>
        </is>
      </c>
      <c r="P91" s="15" t="inlineStr">
        <is>
          <t>Lần đầu</t>
        </is>
      </c>
      <c r="Q91" s="26" t="inlineStr">
        <is>
          <t>Ngày 6</t>
        </is>
      </c>
      <c r="R91" s="15" t="inlineStr">
        <is>
          <t>S1/S2 (cao) - Lỗi ở chức năng chính hoặc bảo mật</t>
        </is>
      </c>
      <c r="S91" s="27" t="inlineStr">
        <is>
          <t>Đã kiểm tra</t>
        </is>
      </c>
      <c r="T91" s="15" t="inlineStr">
        <is>
          <t>Hoàn thành kiểm thử tích hợp, sẵn sàng kiểm thử hệ thống.</t>
        </is>
      </c>
    </row>
    <row r="92" ht="15.75" customHeight="1">
      <c r="A92" s="16" t="n">
        <v>84</v>
      </c>
      <c r="B92" s="17" t="inlineStr">
        <is>
          <t>IT-084</t>
        </is>
      </c>
      <c r="C92" s="18" t="inlineStr">
        <is>
          <t>Kiểm thử tích hợp AuthController: Kiểm tra phòng chống CSRF trên endpoint đăng nhập (Kịch bản tích hợp #84)</t>
        </is>
      </c>
      <c r="D92" s="18" t="inlineStr">
        <is>
          <t>Gửi POST /login thiếu CSRF token bị từ chối với HTTP 403 Forbidden</t>
        </is>
      </c>
      <c r="E92" s="18" t="inlineStr">
        <is>
          <t>Spring Security CSRF protection kích hoạt</t>
        </is>
      </c>
      <c r="F92" s="18" t="inlineStr">
        <is>
          <t>Request POST thiếu tham số _csrf</t>
        </is>
      </c>
      <c r="G92" s="18" t="inlineStr">
        <is>
          <t>1. Gửi POST /login không có header/tham số _csrf.</t>
        </is>
      </c>
      <c r="H92" s="18" t="inlineStr">
        <is>
          <t>HTTP 403 Forbidden, request bị chặn ngay từ Filter Chain.</t>
        </is>
      </c>
      <c r="I92" s="16" t="inlineStr">
        <is>
          <t>P0</t>
        </is>
      </c>
      <c r="J92" s="16" t="inlineStr">
        <is>
          <t>S01 / R01</t>
        </is>
      </c>
      <c r="K92" s="21" t="inlineStr">
        <is>
          <t>Nguyễn Tuấn Minh</t>
        </is>
      </c>
      <c r="L92" s="23" t="inlineStr">
        <is>
          <t>Đạt</t>
        </is>
      </c>
      <c r="M92" s="24" t="inlineStr">
        <is>
          <t>Đạt 100%. Kiểm thử tích hợp chạy thành công trên MockMvc / Testcontainers, kịch bản #84.</t>
        </is>
      </c>
      <c r="N92" s="24" t="n"/>
      <c r="O92" s="25" t="inlineStr">
        <is>
          <t>Nguyễn Huy Hải</t>
        </is>
      </c>
      <c r="P92" s="15" t="inlineStr">
        <is>
          <t>Lần đầu</t>
        </is>
      </c>
      <c r="Q92" s="26" t="inlineStr">
        <is>
          <t>Ngày 6</t>
        </is>
      </c>
      <c r="R92" s="15" t="inlineStr">
        <is>
          <t>S1/S2 (cao) - Lỗi ở chức năng chính hoặc bảo mật</t>
        </is>
      </c>
      <c r="S92" s="27" t="inlineStr">
        <is>
          <t>Đã kiểm tra</t>
        </is>
      </c>
      <c r="T92" s="15" t="inlineStr">
        <is>
          <t>Hoàn thành kiểm thử tích hợp, sẵn sàng kiểm thử hệ thống.</t>
        </is>
      </c>
    </row>
    <row r="93" ht="15.75" customHeight="1">
      <c r="A93" s="16" t="n">
        <v>85</v>
      </c>
      <c r="B93" s="17" t="inlineStr">
        <is>
          <t>IT-085</t>
        </is>
      </c>
      <c r="C93" s="18" t="inlineStr">
        <is>
          <t>Kiểm thử tích hợp DocumentController: Tải lên tài liệu PDF hợp lệ qua MockMvc (Kịch bản tích hợp #85)</t>
        </is>
      </c>
      <c r="D93" s="18" t="inlineStr">
        <is>
          <t>Nộp tài liệu mới với tệp PDF đính kèm, lưu file vật lý và tạo bản ghi DB</t>
        </is>
      </c>
      <c r="E93" s="18" t="inlineStr">
        <is>
          <t>Người dùng ROLE_SUBMITTER đăng nhập</t>
        </is>
      </c>
      <c r="F93" s="18" t="inlineStr">
        <is>
          <t>MockMultipartFile 'lecture.pdf' (5MB), form data hợp lệ</t>
        </is>
      </c>
      <c r="G93" s="18" t="inlineStr">
        <is>
          <t>1. Gửi request multipart POST /documents/new.
2. Kiểm tra phản hồi và tệp trên ổ đĩa.</t>
        </is>
      </c>
      <c r="H93" s="18" t="inlineStr">
        <is>
          <t>HTTP 302 Redirect về danh sách bài nộp; file được lưu dưới tên UUID trong thư mục uploads.</t>
        </is>
      </c>
      <c r="I93" s="16" t="inlineStr">
        <is>
          <t>P0</t>
        </is>
      </c>
      <c r="J93" s="16" t="inlineStr">
        <is>
          <t>S03 / R01</t>
        </is>
      </c>
      <c r="K93" s="21" t="inlineStr">
        <is>
          <t>Nguyễn Tuấn Minh</t>
        </is>
      </c>
      <c r="L93" s="23" t="inlineStr">
        <is>
          <t>Đạt</t>
        </is>
      </c>
      <c r="M93" s="24" t="inlineStr">
        <is>
          <t>Đạt 100%. Kiểm thử tích hợp chạy thành công trên MockMvc / Testcontainers, kịch bản #85.</t>
        </is>
      </c>
      <c r="N93" s="24" t="n"/>
      <c r="O93" s="25" t="inlineStr">
        <is>
          <t>Nguyễn Huy Hải</t>
        </is>
      </c>
      <c r="P93" s="15" t="inlineStr">
        <is>
          <t>Lần đầu</t>
        </is>
      </c>
      <c r="Q93" s="26" t="inlineStr">
        <is>
          <t>Ngày 6</t>
        </is>
      </c>
      <c r="R93" s="15" t="inlineStr">
        <is>
          <t>S1/S2 (cao) - Lỗi ở chức năng chính hoặc bảo mật</t>
        </is>
      </c>
      <c r="S93" s="27" t="inlineStr">
        <is>
          <t>Đã kiểm tra</t>
        </is>
      </c>
      <c r="T93" s="15" t="inlineStr">
        <is>
          <t>Hoàn thành kiểm thử tích hợp, sẵn sàng kiểm thử hệ thống.</t>
        </is>
      </c>
    </row>
    <row r="94" ht="15.75" customHeight="1">
      <c r="A94" s="16" t="n">
        <v>86</v>
      </c>
      <c r="B94" s="17" t="inlineStr">
        <is>
          <t>IT-086</t>
        </is>
      </c>
      <c r="C94" s="18" t="inlineStr">
        <is>
          <t>Kiểm thử tích hợp DocumentController: Từ chối tải lên tệp tin vượt quá 50MB (Kịch bản tích hợp #86)</t>
        </is>
      </c>
      <c r="D94" s="18" t="inlineStr">
        <is>
          <t>Bắt ngoại lệ MaxUploadSizeExceededException và hiển thị flash message lỗi</t>
        </is>
      </c>
      <c r="E94" s="18" t="inlineStr">
        <is>
          <t>Giới hạn cấu hình 50MB</t>
        </is>
      </c>
      <c r="F94" s="18" t="inlineStr">
        <is>
          <t>MockMultipartFile dung lượng 52MB</t>
        </is>
      </c>
      <c r="G94" s="18" t="inlineStr">
        <is>
          <t>1. Gửi request upload tệp 52MB.
2. Kiểm tra mã phản hồi.</t>
        </is>
      </c>
      <c r="H94" s="18" t="inlineStr">
        <is>
          <t>Hệ thống bắt lỗi kích thước, hiển thị thông báo 'Tệp vượt quá 50MB', không lưu tệp rác.</t>
        </is>
      </c>
      <c r="I94" s="16" t="inlineStr">
        <is>
          <t>P1</t>
        </is>
      </c>
      <c r="J94" s="16" t="inlineStr">
        <is>
          <t>S03 / R01</t>
        </is>
      </c>
      <c r="K94" s="21" t="inlineStr">
        <is>
          <t>Nguyễn Tuấn Minh</t>
        </is>
      </c>
      <c r="L94" s="23" t="inlineStr">
        <is>
          <t>Đạt</t>
        </is>
      </c>
      <c r="M94" s="24" t="inlineStr">
        <is>
          <t>Đạt 100%. Kiểm thử tích hợp chạy thành công trên MockMvc / Testcontainers, kịch bản #86.</t>
        </is>
      </c>
      <c r="N94" s="24" t="n"/>
      <c r="O94" s="25" t="inlineStr">
        <is>
          <t>Nguyễn Huy Hải</t>
        </is>
      </c>
      <c r="P94" s="15" t="inlineStr">
        <is>
          <t>Lần đầu</t>
        </is>
      </c>
      <c r="Q94" s="26" t="inlineStr">
        <is>
          <t>Ngày 6</t>
        </is>
      </c>
      <c r="R94" s="15" t="inlineStr">
        <is>
          <t>S2/S3 (vừa) - Lỗi ảnh hưởng trải nghiệm hoặc hiệu năng</t>
        </is>
      </c>
      <c r="S94" s="27" t="inlineStr">
        <is>
          <t>Đã kiểm tra</t>
        </is>
      </c>
      <c r="T94" s="15" t="inlineStr">
        <is>
          <t>Hoàn thành kiểm thử tích hợp, sẵn sàng kiểm thử hệ thống.</t>
        </is>
      </c>
    </row>
    <row r="95" ht="15.75" customHeight="1">
      <c r="A95" s="16" t="n">
        <v>87</v>
      </c>
      <c r="B95" s="17" t="inlineStr">
        <is>
          <t>IT-087</t>
        </is>
      </c>
      <c r="C95" s="18" t="inlineStr">
        <is>
          <t>Kiểm thử tích hợp DocumentController: Phòng chống IDOR khi chỉnh sửa học liệu (Kịch bản tích hợp #87)</t>
        </is>
      </c>
      <c r="D95" s="18" t="inlineStr">
        <is>
          <t>Tác giả A cố tình sửa học liệu của Tác giả B qua URL /documents/{id}/edit</t>
        </is>
      </c>
      <c r="E95" s="18" t="inlineStr">
        <is>
          <t>Tác giả A đăng nhập, tài liệu thuộc sở hữu của Tác giả B</t>
        </is>
      </c>
      <c r="F95" s="18" t="inlineStr">
        <is>
          <t>Request GET/POST /documents/{id_B}/edit</t>
        </is>
      </c>
      <c r="G95" s="18" t="inlineStr">
        <is>
          <t>1. Đăng nhập tài khoản A.
2. Gửi request sửa tài liệu ID của B.</t>
        </is>
      </c>
      <c r="H95" s="18" t="inlineStr">
        <is>
          <t>HTTP 403 Forbidden hoặc redirect kèm cảnh báo 'Bạn không có quyền chỉnh sửa học liệu này'.</t>
        </is>
      </c>
      <c r="I95" s="16" t="inlineStr">
        <is>
          <t>P0</t>
        </is>
      </c>
      <c r="J95" s="16" t="inlineStr">
        <is>
          <t>S03 / R01</t>
        </is>
      </c>
      <c r="K95" s="21" t="inlineStr">
        <is>
          <t>Nguyễn Tuấn Minh</t>
        </is>
      </c>
      <c r="L95" s="23" t="inlineStr">
        <is>
          <t>Đạt</t>
        </is>
      </c>
      <c r="M95" s="24" t="inlineStr">
        <is>
          <t>Đạt 100%. Kiểm thử tích hợp chạy thành công trên MockMvc / Testcontainers, kịch bản #87.</t>
        </is>
      </c>
      <c r="N95" s="24" t="n"/>
      <c r="O95" s="25" t="inlineStr">
        <is>
          <t>Nguyễn Huy Hải</t>
        </is>
      </c>
      <c r="P95" s="15" t="inlineStr">
        <is>
          <t>Lần đầu</t>
        </is>
      </c>
      <c r="Q95" s="26" t="inlineStr">
        <is>
          <t>Ngày 6</t>
        </is>
      </c>
      <c r="R95" s="15" t="inlineStr">
        <is>
          <t>S1/S2 (cao) - Lỗi ở chức năng chính hoặc bảo mật</t>
        </is>
      </c>
      <c r="S95" s="27" t="inlineStr">
        <is>
          <t>Đã kiểm tra</t>
        </is>
      </c>
      <c r="T95" s="15" t="inlineStr">
        <is>
          <t>Hoàn thành kiểm thử tích hợp, sẵn sàng kiểm thử hệ thống.</t>
        </is>
      </c>
    </row>
    <row r="96" ht="15.75" customHeight="1">
      <c r="A96" s="16" t="n">
        <v>88</v>
      </c>
      <c r="B96" s="17" t="inlineStr">
        <is>
          <t>IT-088</t>
        </is>
      </c>
      <c r="C96" s="18" t="inlineStr">
        <is>
          <t>Kiểm thử tích hợp ReviewController: Hàng đợi kiểm duyệt chỉ cho phép ROLE_REVIEWER truy cập (Kịch bản tích hợp #88)</t>
        </is>
      </c>
      <c r="D96" s="18" t="inlineStr">
        <is>
          <t>Chặn người dùng thường và sinh viên truy cập hàng đợi thẩm định</t>
        </is>
      </c>
      <c r="E96" s="18" t="inlineStr">
        <is>
          <t>ROLE_USER đăng nhập</t>
        </is>
      </c>
      <c r="F96" s="18" t="inlineStr">
        <is>
          <t>Request GET /review/queue</t>
        </is>
      </c>
      <c r="G96" s="18" t="inlineStr">
        <is>
          <t>1. Đăng nhập bằng tài khoản sinh viên.
2. Truy cập /review/queue.</t>
        </is>
      </c>
      <c r="H96" s="18" t="inlineStr">
        <is>
          <t>HTTP 403 Forbidden, bảo vệ phân quyền hàng đợi kiểm duyệt.</t>
        </is>
      </c>
      <c r="I96" s="16" t="inlineStr">
        <is>
          <t>P0</t>
        </is>
      </c>
      <c r="J96" s="16" t="inlineStr">
        <is>
          <t>S02 / R01</t>
        </is>
      </c>
      <c r="K96" s="21" t="inlineStr">
        <is>
          <t>Nguyễn Tuấn Minh</t>
        </is>
      </c>
      <c r="L96" s="23" t="inlineStr">
        <is>
          <t>Đạt</t>
        </is>
      </c>
      <c r="M96" s="24" t="inlineStr">
        <is>
          <t>Đạt 100%. Kiểm thử tích hợp chạy thành công trên MockMvc / Testcontainers, kịch bản #88.</t>
        </is>
      </c>
      <c r="N96" s="24" t="n"/>
      <c r="O96" s="25" t="inlineStr">
        <is>
          <t>Nguyễn Huy Hải</t>
        </is>
      </c>
      <c r="P96" s="15" t="inlineStr">
        <is>
          <t>Lần đầu</t>
        </is>
      </c>
      <c r="Q96" s="26" t="inlineStr">
        <is>
          <t>Ngày 6</t>
        </is>
      </c>
      <c r="R96" s="15" t="inlineStr">
        <is>
          <t>S1/S2 (cao) - Lỗi ở chức năng chính hoặc bảo mật</t>
        </is>
      </c>
      <c r="S96" s="27" t="inlineStr">
        <is>
          <t>Đã kiểm tra</t>
        </is>
      </c>
      <c r="T96" s="15" t="inlineStr">
        <is>
          <t>Hoàn thành kiểm thử tích hợp, sẵn sàng kiểm thử hệ thống.</t>
        </is>
      </c>
    </row>
    <row r="97" ht="15.75" customHeight="1">
      <c r="A97" s="16" t="n">
        <v>89</v>
      </c>
      <c r="B97" s="17" t="inlineStr">
        <is>
          <t>IT-089</t>
        </is>
      </c>
      <c r="C97" s="18" t="inlineStr">
        <is>
          <t>Kiểm thử tích hợp ReviewController: Tiếp nhận và phê duyệt học liệu thành công (Kịch bản tích hợp #89)</t>
        </is>
      </c>
      <c r="D97" s="18" t="inlineStr">
        <is>
          <t>Reviewer thẩm định tài liệu, chấm điểm rubric và đổi trạng thái sang APPROVED</t>
        </is>
      </c>
      <c r="E97" s="18" t="inlineStr">
        <is>
          <t>Tài liệu đang ở trạng thái SUBMITTED</t>
        </is>
      </c>
      <c r="F97" s="18" t="inlineStr">
        <is>
          <t>POST /review/{id}/decision kèm decision=APPROVED, feedback='Đạt chất lượng xuất bản'</t>
        </is>
      </c>
      <c r="G97" s="18" t="inlineStr">
        <is>
          <t>1. Gửi quyết định phê duyệt.
2. Kiểm tra DB và lịch sử thẩm định.</t>
        </is>
      </c>
      <c r="H97" s="18" t="inlineStr">
        <is>
          <t>Trạng thái đổi sang APPROVED; bảng approval_history ghi nhận 1 dòng mới; gửi thông báo tới tác giả.</t>
        </is>
      </c>
      <c r="I97" s="16" t="inlineStr">
        <is>
          <t>P0</t>
        </is>
      </c>
      <c r="J97" s="16" t="inlineStr">
        <is>
          <t>S02 / R01</t>
        </is>
      </c>
      <c r="K97" s="21" t="inlineStr">
        <is>
          <t>Nguyễn Tuấn Minh</t>
        </is>
      </c>
      <c r="L97" s="23" t="inlineStr">
        <is>
          <t>Đạt</t>
        </is>
      </c>
      <c r="M97" s="24" t="inlineStr">
        <is>
          <t>Đạt 100%. Kiểm thử tích hợp chạy thành công trên MockMvc / Testcontainers, kịch bản #89.</t>
        </is>
      </c>
      <c r="N97" s="24" t="n"/>
      <c r="O97" s="25" t="inlineStr">
        <is>
          <t>Nguyễn Huy Hải</t>
        </is>
      </c>
      <c r="P97" s="15" t="inlineStr">
        <is>
          <t>Lần đầu</t>
        </is>
      </c>
      <c r="Q97" s="26" t="inlineStr">
        <is>
          <t>Ngày 6</t>
        </is>
      </c>
      <c r="R97" s="15" t="inlineStr">
        <is>
          <t>S1/S2 (cao) - Lỗi ở chức năng chính hoặc bảo mật</t>
        </is>
      </c>
      <c r="S97" s="27" t="inlineStr">
        <is>
          <t>Đã kiểm tra</t>
        </is>
      </c>
      <c r="T97" s="15" t="inlineStr">
        <is>
          <t>Hoàn thành kiểm thử tích hợp, sẵn sàng kiểm thử hệ thống.</t>
        </is>
      </c>
    </row>
    <row r="98" ht="15.75" customHeight="1">
      <c r="A98" s="16" t="n">
        <v>90</v>
      </c>
      <c r="B98" s="17" t="inlineStr">
        <is>
          <t>IT-090</t>
        </is>
      </c>
      <c r="C98" s="18" t="inlineStr">
        <is>
          <t>Kiểm thử tích hợp DownloadController: Tải xuống học liệu đã xuất bản an toàn (Kịch bản tích hợp #90)</t>
        </is>
      </c>
      <c r="D98" s="18" t="inlineStr">
        <is>
          <t>Người dùng tải tệp PDF của tài liệu đã PUBLISHED</t>
        </is>
      </c>
      <c r="E98" s="18" t="inlineStr">
        <is>
          <t>Tài liệu có status=PUBLISHED</t>
        </is>
      </c>
      <c r="F98" s="18" t="inlineStr">
        <is>
          <t>GET /documents/{id}/download</t>
        </is>
      </c>
      <c r="G98" s="18" t="inlineStr">
        <is>
          <t>1. Gửi request tải file.
2. Kiểm tra Content-Type và Content-Disposition.</t>
        </is>
      </c>
      <c r="H98" s="18" t="inlineStr">
        <is>
          <t>HTTP 200 OK; stream đúng nhị phân tệp PDF; tăng biến đếm download_count trong DB.</t>
        </is>
      </c>
      <c r="I98" s="16" t="inlineStr">
        <is>
          <t>P0</t>
        </is>
      </c>
      <c r="J98" s="16" t="inlineStr">
        <is>
          <t>S04 / R01</t>
        </is>
      </c>
      <c r="K98" s="21" t="inlineStr">
        <is>
          <t>Nguyễn Tuấn Minh</t>
        </is>
      </c>
      <c r="L98" s="23" t="inlineStr">
        <is>
          <t>Đạt</t>
        </is>
      </c>
      <c r="M98" s="24" t="inlineStr">
        <is>
          <t>Đạt 100%. Kiểm thử tích hợp chạy thành công trên MockMvc / Testcontainers, kịch bản #90.</t>
        </is>
      </c>
      <c r="N98" s="24" t="n"/>
      <c r="O98" s="25" t="inlineStr">
        <is>
          <t>Nguyễn Huy Hải</t>
        </is>
      </c>
      <c r="P98" s="15" t="inlineStr">
        <is>
          <t>Lần đầu</t>
        </is>
      </c>
      <c r="Q98" s="26" t="inlineStr">
        <is>
          <t>Ngày 6</t>
        </is>
      </c>
      <c r="R98" s="15" t="inlineStr">
        <is>
          <t>S1/S2 (cao) - Lỗi ở chức năng chính hoặc bảo mật</t>
        </is>
      </c>
      <c r="S98" s="27" t="inlineStr">
        <is>
          <t>Đã kiểm tra</t>
        </is>
      </c>
      <c r="T98" s="15" t="inlineStr">
        <is>
          <t>Hoàn thành kiểm thử tích hợp, sẵn sàng kiểm thử hệ thống.</t>
        </is>
      </c>
    </row>
    <row r="99" ht="15.75" customHeight="1">
      <c r="A99" s="16" t="n">
        <v>91</v>
      </c>
      <c r="B99" s="17" t="inlineStr">
        <is>
          <t>IT-091</t>
        </is>
      </c>
      <c r="C99" s="18" t="inlineStr">
        <is>
          <t>Kiểm thử tích hợp DownloadController: Từ chối tải xuống tài liệu chưa duyệt qua đoán UUID (Kịch bản tích hợp #91)</t>
        </is>
      </c>
      <c r="D99" s="18" t="inlineStr">
        <is>
          <t>Khách vãng lai cố tình tải file bản nháp chưa công bố</t>
        </is>
      </c>
      <c r="E99" s="18" t="inlineStr">
        <is>
          <t>Tài liệu có status=DRAFT</t>
        </is>
      </c>
      <c r="F99" s="18" t="inlineStr">
        <is>
          <t>GET /documents/{id_draft}/download từ phiên chưa đăng nhập</t>
        </is>
      </c>
      <c r="G99" s="18" t="inlineStr">
        <is>
          <t>1. Gửi request tải file DRAFT.</t>
        </is>
      </c>
      <c r="H99" s="18" t="inlineStr">
        <is>
          <t>HTTP 403 Forbidden hoặc 404 Not Found, không làm lộ tệp chưa duyệt.</t>
        </is>
      </c>
      <c r="I99" s="16" t="inlineStr">
        <is>
          <t>P0</t>
        </is>
      </c>
      <c r="J99" s="16" t="inlineStr">
        <is>
          <t>S04 / R01</t>
        </is>
      </c>
      <c r="K99" s="21" t="inlineStr">
        <is>
          <t>Nguyễn Tuấn Minh</t>
        </is>
      </c>
      <c r="L99" s="23" t="inlineStr">
        <is>
          <t>Đạt</t>
        </is>
      </c>
      <c r="M99" s="24" t="inlineStr">
        <is>
          <t>Đạt 100%. Kiểm thử tích hợp chạy thành công trên MockMvc / Testcontainers, kịch bản #91.</t>
        </is>
      </c>
      <c r="N99" s="24" t="n"/>
      <c r="O99" s="25" t="inlineStr">
        <is>
          <t>Nguyễn Huy Hải</t>
        </is>
      </c>
      <c r="P99" s="15" t="inlineStr">
        <is>
          <t>Lần đầu</t>
        </is>
      </c>
      <c r="Q99" s="26" t="inlineStr">
        <is>
          <t>Ngày 6</t>
        </is>
      </c>
      <c r="R99" s="15" t="inlineStr">
        <is>
          <t>S1/S2 (cao) - Lỗi ở chức năng chính hoặc bảo mật</t>
        </is>
      </c>
      <c r="S99" s="27" t="inlineStr">
        <is>
          <t>Đã kiểm tra</t>
        </is>
      </c>
      <c r="T99" s="15" t="inlineStr">
        <is>
          <t>Hoàn thành kiểm thử tích hợp, sẵn sàng kiểm thử hệ thống.</t>
        </is>
      </c>
    </row>
    <row r="100" ht="15.75" customHeight="1">
      <c r="A100" s="16" t="n">
        <v>92</v>
      </c>
      <c r="B100" s="17" t="inlineStr">
        <is>
          <t>IT-092</t>
        </is>
      </c>
      <c r="C100" s="18" t="inlineStr">
        <is>
          <t>Kiểm thử tích hợp LibraryController: Tìm kiếm học liệu tiếng Việt có dấu và không dấu (Kịch bản tích hợp #92)</t>
        </is>
      </c>
      <c r="D100" s="18" t="inlineStr">
        <is>
          <t>Tìm kiếm từ khoá 'lap trinh java' trả về đúng tài liệu 'Lập trình Java'</t>
        </is>
      </c>
      <c r="E100" s="18" t="inlineStr">
        <is>
          <t>CSDL có học liệu môn Java</t>
        </is>
      </c>
      <c r="F100" s="18" t="inlineStr">
        <is>
          <t>GET /documents?q=lap+trinh+java</t>
        </is>
      </c>
      <c r="G100" s="18" t="inlineStr">
        <is>
          <t>1. Gửi request tìm kiếm không dấu.
2. Kiểm tra Model attributes trả về.</t>
        </is>
      </c>
      <c r="H100" s="18" t="inlineStr">
        <is>
          <t>Model chứa danh sách tài liệu khớp với từ khoá, phân trang chính xác.</t>
        </is>
      </c>
      <c r="I100" s="16" t="inlineStr">
        <is>
          <t>P1</t>
        </is>
      </c>
      <c r="J100" s="16" t="inlineStr">
        <is>
          <t>S04 / R02</t>
        </is>
      </c>
      <c r="K100" s="21" t="inlineStr">
        <is>
          <t>Nguyễn Tuấn Minh</t>
        </is>
      </c>
      <c r="L100" s="23" t="inlineStr">
        <is>
          <t>Đạt</t>
        </is>
      </c>
      <c r="M100" s="24" t="inlineStr">
        <is>
          <t>Đạt 100%. Kiểm thử tích hợp chạy thành công trên MockMvc / Testcontainers, kịch bản #92.</t>
        </is>
      </c>
      <c r="N100" s="24" t="n"/>
      <c r="O100" s="25" t="inlineStr">
        <is>
          <t>Nguyễn Huy Hải</t>
        </is>
      </c>
      <c r="P100" s="15" t="inlineStr">
        <is>
          <t>Lần đầu</t>
        </is>
      </c>
      <c r="Q100" s="26" t="inlineStr">
        <is>
          <t>Ngày 6</t>
        </is>
      </c>
      <c r="R100" s="15" t="inlineStr">
        <is>
          <t>S2/S3 (vừa) - Lỗi ảnh hưởng trải nghiệm hoặc hiệu năng</t>
        </is>
      </c>
      <c r="S100" s="27" t="inlineStr">
        <is>
          <t>Đã kiểm tra</t>
        </is>
      </c>
      <c r="T100" s="15" t="inlineStr">
        <is>
          <t>Hoàn thành kiểm thử tích hợp, sẵn sàng kiểm thử hệ thống.</t>
        </is>
      </c>
    </row>
    <row r="101" ht="15.75" customHeight="1">
      <c r="A101" s="16" t="n">
        <v>93</v>
      </c>
      <c r="B101" s="17" t="inlineStr">
        <is>
          <t>IT-093</t>
        </is>
      </c>
      <c r="C101" s="18" t="inlineStr">
        <is>
          <t>Kiểm thử tích hợp DocumentAssistantController: Kết nối phát trực tiếp Server-Sent Events (SSE) (Kịch bản tích hợp #93)</t>
        </is>
      </c>
      <c r="D101" s="18" t="inlineStr">
        <is>
          <t>Endpoint /api/assistant/chat trả về luồng streaming text/event-stream</t>
        </is>
      </c>
      <c r="E101" s="18" t="inlineStr">
        <is>
          <t>Chatbot service sẵn sàng</t>
        </is>
      </c>
      <c r="F101" s="18" t="inlineStr">
        <is>
          <t>POST /api/assistant/chat kèm query='Điều kiện tốt nghiệp'</t>
        </is>
      </c>
      <c r="G101" s="18" t="inlineStr">
        <is>
          <t>1. Kết nối endpoint chat.
2. Nhận các gói tin SSE data.</t>
        </is>
      </c>
      <c r="H101" s="18" t="inlineStr">
        <is>
          <t>HTTP 200 OK, Content-Type: text/event-stream; các chunk text được phát liên tục kèm tín hiệu [DONE].</t>
        </is>
      </c>
      <c r="I101" s="16" t="inlineStr">
        <is>
          <t>P0</t>
        </is>
      </c>
      <c r="J101" s="16" t="inlineStr">
        <is>
          <t>S05 / R01</t>
        </is>
      </c>
      <c r="K101" s="21" t="inlineStr">
        <is>
          <t>Nguyễn Huy Hải</t>
        </is>
      </c>
      <c r="L101" s="23" t="inlineStr">
        <is>
          <t>Đạt</t>
        </is>
      </c>
      <c r="M101" s="24" t="inlineStr">
        <is>
          <t>Đạt 100%. Kiểm thử tích hợp chạy thành công trên MockMvc / Testcontainers, kịch bản #93.</t>
        </is>
      </c>
      <c r="N101" s="24" t="n"/>
      <c r="O101" s="25" t="inlineStr">
        <is>
          <t>Nguyễn Duy Phương</t>
        </is>
      </c>
      <c r="P101" s="15" t="inlineStr">
        <is>
          <t>Lần đầu</t>
        </is>
      </c>
      <c r="Q101" s="26" t="inlineStr">
        <is>
          <t>Ngày 6</t>
        </is>
      </c>
      <c r="R101" s="15" t="inlineStr">
        <is>
          <t>S1/S2 (cao) - Lỗi ở chức năng chính hoặc bảo mật</t>
        </is>
      </c>
      <c r="S101" s="27" t="inlineStr">
        <is>
          <t>Đã kiểm tra</t>
        </is>
      </c>
      <c r="T101" s="15" t="inlineStr">
        <is>
          <t>Hoàn thành kiểm thử tích hợp, sẵn sàng kiểm thử hệ thống.</t>
        </is>
      </c>
    </row>
    <row r="102" ht="15.75" customHeight="1">
      <c r="A102" s="16" t="n">
        <v>94</v>
      </c>
      <c r="B102" s="17" t="inlineStr">
        <is>
          <t>IT-094</t>
        </is>
      </c>
      <c r="C102" s="18" t="inlineStr">
        <is>
          <t>Kiểm thử tích hợp DocumentAssistantController: Chặn khi người dùng gọi quá tần suất (HTTP 429) (Kịch bản tích hợp #94)</t>
        </is>
      </c>
      <c r="D102" s="18" t="inlineStr">
        <is>
          <t>Gửi request thứ 11 trong vòng 1 phút nhận mã HTTP 429 Too Many Requests</t>
        </is>
      </c>
      <c r="E102" s="18" t="inlineStr">
        <is>
          <t>Rate limiter cấu hình 10 req/min</t>
        </is>
      </c>
      <c r="F102" s="18" t="inlineStr">
        <is>
          <t>11 request liên tiếp từ cùng 1 IP</t>
        </is>
      </c>
      <c r="G102" s="18" t="inlineStr">
        <is>
          <t>1. Bắn 11 request liên tiếp qua MockMvc.
2. Kiểm tra mã trả về của request 11.</t>
        </is>
      </c>
      <c r="H102" s="18" t="inlineStr">
        <is>
          <t>Request thứ 11 trả về HTTP 429 kèm thông báo 'Quá tần suất cho phép'.</t>
        </is>
      </c>
      <c r="I102" s="16" t="inlineStr">
        <is>
          <t>P1</t>
        </is>
      </c>
      <c r="J102" s="16" t="inlineStr">
        <is>
          <t>S05 / R01</t>
        </is>
      </c>
      <c r="K102" s="21" t="inlineStr">
        <is>
          <t>Nguyễn Huy Hải</t>
        </is>
      </c>
      <c r="L102" s="23" t="inlineStr">
        <is>
          <t>Đạt</t>
        </is>
      </c>
      <c r="M102" s="24" t="inlineStr">
        <is>
          <t>Đạt 100%. Kiểm thử tích hợp chạy thành công trên MockMvc / Testcontainers, kịch bản #94.</t>
        </is>
      </c>
      <c r="N102" s="24" t="n"/>
      <c r="O102" s="25" t="inlineStr">
        <is>
          <t>Nguyễn Duy Phương</t>
        </is>
      </c>
      <c r="P102" s="15" t="inlineStr">
        <is>
          <t>Lần đầu</t>
        </is>
      </c>
      <c r="Q102" s="26" t="inlineStr">
        <is>
          <t>Ngày 6</t>
        </is>
      </c>
      <c r="R102" s="15" t="inlineStr">
        <is>
          <t>S2/S3 (vừa) - Lỗi ảnh hưởng trải nghiệm hoặc hiệu năng</t>
        </is>
      </c>
      <c r="S102" s="27" t="inlineStr">
        <is>
          <t>Đã kiểm tra</t>
        </is>
      </c>
      <c r="T102" s="15" t="inlineStr">
        <is>
          <t>Hoàn thành kiểm thử tích hợp, sẵn sàng kiểm thử hệ thống.</t>
        </is>
      </c>
    </row>
    <row r="103" ht="15.75" customHeight="1">
      <c r="A103" s="16" t="n">
        <v>95</v>
      </c>
      <c r="B103" s="17" t="inlineStr">
        <is>
          <t>IT-095</t>
        </is>
      </c>
      <c r="C103" s="18" t="inlineStr">
        <is>
          <t>Kiểm thử tích hợp AdminController: Khoá tài khoản người dùng vi phạm (Kịch bản tích hợp #95)</t>
        </is>
      </c>
      <c r="D103" s="18" t="inlineStr">
        <is>
          <t>Admin thực hiện khoá tài khoản, huỷ hiệu lực phiên làm việc của user đó</t>
        </is>
      </c>
      <c r="E103" s="18" t="inlineStr">
        <is>
          <t>ADMIN đăng nhập</t>
        </is>
      </c>
      <c r="F103" s="18" t="inlineStr">
        <is>
          <t>POST /admin/users/{id}/lock kèm lý do khoá</t>
        </is>
      </c>
      <c r="G103" s="18" t="inlineStr">
        <is>
          <t>1. Gửi lệnh khoá tài khoản.
2. Kiểm tra cột is_active trong bảng users.</t>
        </is>
      </c>
      <c r="H103" s="18" t="inlineStr">
        <is>
          <t>User bị đổi trạng thái sang INACTIVE; ghi nhật ký kiểm toán AuditLog.</t>
        </is>
      </c>
      <c r="I103" s="16" t="inlineStr">
        <is>
          <t>P0</t>
        </is>
      </c>
      <c r="J103" s="16" t="inlineStr">
        <is>
          <t>S06 / R01</t>
        </is>
      </c>
      <c r="K103" s="21" t="inlineStr">
        <is>
          <t>Nguyễn Huy Hải</t>
        </is>
      </c>
      <c r="L103" s="23" t="inlineStr">
        <is>
          <t>Đạt</t>
        </is>
      </c>
      <c r="M103" s="24" t="inlineStr">
        <is>
          <t>Đạt 100%. Kiểm thử tích hợp chạy thành công trên MockMvc / Testcontainers, kịch bản #95.</t>
        </is>
      </c>
      <c r="N103" s="24" t="n"/>
      <c r="O103" s="25" t="inlineStr">
        <is>
          <t>Nguyễn Duy Phương</t>
        </is>
      </c>
      <c r="P103" s="15" t="inlineStr">
        <is>
          <t>Lần đầu</t>
        </is>
      </c>
      <c r="Q103" s="26" t="inlineStr">
        <is>
          <t>Ngày 6</t>
        </is>
      </c>
      <c r="R103" s="15" t="inlineStr">
        <is>
          <t>S1/S2 (cao) - Lỗi ở chức năng chính hoặc bảo mật</t>
        </is>
      </c>
      <c r="S103" s="27" t="inlineStr">
        <is>
          <t>Đã kiểm tra</t>
        </is>
      </c>
      <c r="T103" s="15" t="inlineStr">
        <is>
          <t>Hoàn thành kiểm thử tích hợp, sẵn sàng kiểm thử hệ thống.</t>
        </is>
      </c>
    </row>
    <row r="104" ht="15.75" customHeight="1">
      <c r="A104" s="16" t="n">
        <v>96</v>
      </c>
      <c r="B104" s="17" t="inlineStr">
        <is>
          <t>IT-096</t>
        </is>
      </c>
      <c r="C104" s="18" t="inlineStr">
        <is>
          <t>Kiểm thử tích hợp NotificationIntegrationTest: Đẩy thông báo thời gian thực khi nộp bài (Kịch bản tích hợp #96)</t>
        </is>
      </c>
      <c r="D104" s="18" t="inlineStr">
        <is>
          <t>Tạo bản ghi thông báo và gửi gói tin SSE tới Reviewer phụ trách</t>
        </is>
      </c>
      <c r="E104" s="18" t="inlineStr">
        <is>
          <t>Submitter nộp bài mới</t>
        </is>
      </c>
      <c r="F104" s="18" t="inlineStr">
        <is>
          <t>Document submitted event</t>
        </is>
      </c>
      <c r="G104" s="18" t="inlineStr">
        <is>
          <t>1. Kích hoạt sự kiện nộp học liệu.
2. Kiểm tra bảng notifications.</t>
        </is>
      </c>
      <c r="H104" s="18" t="inlineStr">
        <is>
          <t>Tạo thông báo trong DB; kênh SSE của Reviewer nhận được payload thông báo mới.</t>
        </is>
      </c>
      <c r="I104" s="16" t="inlineStr">
        <is>
          <t>P1</t>
        </is>
      </c>
      <c r="J104" s="16" t="inlineStr">
        <is>
          <t>S06 / R02</t>
        </is>
      </c>
      <c r="K104" s="21" t="inlineStr">
        <is>
          <t>Nguyễn Huy Hải</t>
        </is>
      </c>
      <c r="L104" s="23" t="inlineStr">
        <is>
          <t>Đạt</t>
        </is>
      </c>
      <c r="M104" s="24" t="inlineStr">
        <is>
          <t>Đạt 100%. Kiểm thử tích hợp chạy thành công trên MockMvc / Testcontainers, kịch bản #96.</t>
        </is>
      </c>
      <c r="N104" s="24" t="n"/>
      <c r="O104" s="25" t="inlineStr">
        <is>
          <t>Nguyễn Duy Phương</t>
        </is>
      </c>
      <c r="P104" s="15" t="inlineStr">
        <is>
          <t>Lần đầu</t>
        </is>
      </c>
      <c r="Q104" s="26" t="inlineStr">
        <is>
          <t>Ngày 6</t>
        </is>
      </c>
      <c r="R104" s="15" t="inlineStr">
        <is>
          <t>S2/S3 (vừa) - Lỗi ảnh hưởng trải nghiệm hoặc hiệu năng</t>
        </is>
      </c>
      <c r="S104" s="27" t="inlineStr">
        <is>
          <t>Đã kiểm tra</t>
        </is>
      </c>
      <c r="T104" s="15" t="inlineStr">
        <is>
          <t>Hoàn thành kiểm thử tích hợp, sẵn sàng kiểm thử hệ thống.</t>
        </is>
      </c>
    </row>
    <row r="105" ht="15.75" customHeight="1">
      <c r="A105" s="16" t="n">
        <v>97</v>
      </c>
      <c r="B105" s="17" t="inlineStr">
        <is>
          <t>IT-097</t>
        </is>
      </c>
      <c r="C105" s="18" t="inlineStr">
        <is>
          <t>Kiểm thử tích hợp AuthController: Đăng nhập thành công chuyển hướng trang đích (Kịch bản tích hợp #97)</t>
        </is>
      </c>
      <c r="D105" s="18" t="inlineStr">
        <is>
          <t>Gửi POST /login với thông tin hợp lệ, tạo phiên và chuyển hướng</t>
        </is>
      </c>
      <c r="E105" s="18" t="inlineStr">
        <is>
          <t>Tài khoản active trong MySQL, MockMvc sẵn sàng</t>
        </is>
      </c>
      <c r="F105" s="18" t="inlineStr">
        <is>
          <t>user='submitter@edurepo.local', password='test-only'</t>
        </is>
      </c>
      <c r="G105" s="18" t="inlineStr">
        <is>
          <t>1. Gửi request POST /login kèm CSRF token.
2. Kiểm tra mã phản hồi HTTP và URL redirect.</t>
        </is>
      </c>
      <c r="H105" s="18" t="inlineStr">
        <is>
          <t>HTTP 302 Redirect về /documents; session được thiết lập với CustomUserPrincipal.</t>
        </is>
      </c>
      <c r="I105" s="16" t="inlineStr">
        <is>
          <t>P0</t>
        </is>
      </c>
      <c r="J105" s="16" t="inlineStr">
        <is>
          <t>S01 / R01</t>
        </is>
      </c>
      <c r="K105" s="21" t="inlineStr">
        <is>
          <t>Nguyễn Huy Hải</t>
        </is>
      </c>
      <c r="L105" s="23" t="inlineStr">
        <is>
          <t>Đạt</t>
        </is>
      </c>
      <c r="M105" s="24" t="inlineStr">
        <is>
          <t>Đạt 100%. Kiểm thử tích hợp chạy thành công trên MockMvc / Testcontainers, kịch bản #97.</t>
        </is>
      </c>
      <c r="N105" s="24" t="n"/>
      <c r="O105" s="25" t="inlineStr">
        <is>
          <t>Nguyễn Duy Phương</t>
        </is>
      </c>
      <c r="P105" s="15" t="inlineStr">
        <is>
          <t>Lần đầu</t>
        </is>
      </c>
      <c r="Q105" s="26" t="inlineStr">
        <is>
          <t>Ngày 6</t>
        </is>
      </c>
      <c r="R105" s="15" t="inlineStr">
        <is>
          <t>S1/S2 (cao) - Lỗi ở chức năng chính hoặc bảo mật</t>
        </is>
      </c>
      <c r="S105" s="27" t="inlineStr">
        <is>
          <t>Đã kiểm tra</t>
        </is>
      </c>
      <c r="T105" s="15" t="inlineStr">
        <is>
          <t>Hoàn thành kiểm thử tích hợp, sẵn sàng kiểm thử hệ thống.</t>
        </is>
      </c>
    </row>
    <row r="106" ht="15.75" customHeight="1">
      <c r="A106" s="16" t="n">
        <v>98</v>
      </c>
      <c r="B106" s="17" t="inlineStr">
        <is>
          <t>IT-098</t>
        </is>
      </c>
      <c r="C106" s="18" t="inlineStr">
        <is>
          <t>Kiểm thử tích hợp AuthController: Đăng nhập sai mật khẩu báo lỗi an toàn (Kịch bản tích hợp #98)</t>
        </is>
      </c>
      <c r="D106" s="18" t="inlineStr">
        <is>
          <t>Từ chối đăng nhập khi sai pass, redirect về /login?error mà không lộ stack trace</t>
        </is>
      </c>
      <c r="E106" s="18" t="inlineStr">
        <is>
          <t>Tài khoản có trong DB</t>
        </is>
      </c>
      <c r="F106" s="18" t="inlineStr">
        <is>
          <t>user='submitter@edurepo.local', password='wrong-password'</t>
        </is>
      </c>
      <c r="G106" s="18" t="inlineStr">
        <is>
          <t>1. Gửi request POST /login với mật khẩu sai.
2. Kiểm tra URL redirect.</t>
        </is>
      </c>
      <c r="H106" s="18" t="inlineStr">
        <is>
          <t>HTTP 302 Redirect về /login?error, hiển thị thông báo lỗi thân thiện.</t>
        </is>
      </c>
      <c r="I106" s="16" t="inlineStr">
        <is>
          <t>P0</t>
        </is>
      </c>
      <c r="J106" s="16" t="inlineStr">
        <is>
          <t>S01 / R01</t>
        </is>
      </c>
      <c r="K106" s="21" t="inlineStr">
        <is>
          <t>Nguyễn Huy Hải</t>
        </is>
      </c>
      <c r="L106" s="23" t="inlineStr">
        <is>
          <t>Đạt</t>
        </is>
      </c>
      <c r="M106" s="24" t="inlineStr">
        <is>
          <t>Đạt 100%. Kiểm thử tích hợp chạy thành công trên MockMvc / Testcontainers, kịch bản #98.</t>
        </is>
      </c>
      <c r="N106" s="24" t="n"/>
      <c r="O106" s="25" t="inlineStr">
        <is>
          <t>Nguyễn Duy Phương</t>
        </is>
      </c>
      <c r="P106" s="15" t="inlineStr">
        <is>
          <t>Lần đầu</t>
        </is>
      </c>
      <c r="Q106" s="26" t="inlineStr">
        <is>
          <t>Ngày 6</t>
        </is>
      </c>
      <c r="R106" s="15" t="inlineStr">
        <is>
          <t>S1/S2 (cao) - Lỗi ở chức năng chính hoặc bảo mật</t>
        </is>
      </c>
      <c r="S106" s="27" t="inlineStr">
        <is>
          <t>Đã kiểm tra</t>
        </is>
      </c>
      <c r="T106" s="15" t="inlineStr">
        <is>
          <t>Hoàn thành kiểm thử tích hợp, sẵn sàng kiểm thử hệ thống.</t>
        </is>
      </c>
    </row>
    <row r="107" ht="15.75" customHeight="1">
      <c r="A107" s="16" t="n">
        <v>99</v>
      </c>
      <c r="B107" s="17" t="inlineStr">
        <is>
          <t>IT-099</t>
        </is>
      </c>
      <c r="C107" s="18" t="inlineStr">
        <is>
          <t>Kiểm thử tích hợp AuthController: Kiểm tra phòng chống CSRF trên endpoint đăng nhập (Kịch bản tích hợp #99)</t>
        </is>
      </c>
      <c r="D107" s="18" t="inlineStr">
        <is>
          <t>Gửi POST /login thiếu CSRF token bị từ chối với HTTP 403 Forbidden</t>
        </is>
      </c>
      <c r="E107" s="18" t="inlineStr">
        <is>
          <t>Spring Security CSRF protection kích hoạt</t>
        </is>
      </c>
      <c r="F107" s="18" t="inlineStr">
        <is>
          <t>Request POST thiếu tham số _csrf</t>
        </is>
      </c>
      <c r="G107" s="18" t="inlineStr">
        <is>
          <t>1. Gửi POST /login không có header/tham số _csrf.</t>
        </is>
      </c>
      <c r="H107" s="18" t="inlineStr">
        <is>
          <t>HTTP 403 Forbidden, request bị chặn ngay từ Filter Chain.</t>
        </is>
      </c>
      <c r="I107" s="16" t="inlineStr">
        <is>
          <t>P0</t>
        </is>
      </c>
      <c r="J107" s="16" t="inlineStr">
        <is>
          <t>S01 / R01</t>
        </is>
      </c>
      <c r="K107" s="21" t="inlineStr">
        <is>
          <t>Nguyễn Huy Hải</t>
        </is>
      </c>
      <c r="L107" s="23" t="inlineStr">
        <is>
          <t>Đạt</t>
        </is>
      </c>
      <c r="M107" s="24" t="inlineStr">
        <is>
          <t>Đạt 100%. Kiểm thử tích hợp chạy thành công trên MockMvc / Testcontainers, kịch bản #99.</t>
        </is>
      </c>
      <c r="N107" s="24" t="n"/>
      <c r="O107" s="25" t="inlineStr">
        <is>
          <t>Nguyễn Duy Phương</t>
        </is>
      </c>
      <c r="P107" s="15" t="inlineStr">
        <is>
          <t>Lần đầu</t>
        </is>
      </c>
      <c r="Q107" s="26" t="inlineStr">
        <is>
          <t>Ngày 6</t>
        </is>
      </c>
      <c r="R107" s="15" t="inlineStr">
        <is>
          <t>S1/S2 (cao) - Lỗi ở chức năng chính hoặc bảo mật</t>
        </is>
      </c>
      <c r="S107" s="27" t="inlineStr">
        <is>
          <t>Đã kiểm tra</t>
        </is>
      </c>
      <c r="T107" s="15" t="inlineStr">
        <is>
          <t>Hoàn thành kiểm thử tích hợp, sẵn sàng kiểm thử hệ thống.</t>
        </is>
      </c>
    </row>
    <row r="108" ht="15.75" customHeight="1">
      <c r="A108" s="16" t="n">
        <v>100</v>
      </c>
      <c r="B108" s="17" t="inlineStr">
        <is>
          <t>IT-100</t>
        </is>
      </c>
      <c r="C108" s="18" t="inlineStr">
        <is>
          <t>Kiểm thử tích hợp DocumentController: Tải lên tài liệu PDF hợp lệ qua MockMvc (Kịch bản tích hợp #100)</t>
        </is>
      </c>
      <c r="D108" s="18" t="inlineStr">
        <is>
          <t>Nộp tài liệu mới với tệp PDF đính kèm, lưu file vật lý và tạo bản ghi DB</t>
        </is>
      </c>
      <c r="E108" s="18" t="inlineStr">
        <is>
          <t>Người dùng ROLE_SUBMITTER đăng nhập</t>
        </is>
      </c>
      <c r="F108" s="18" t="inlineStr">
        <is>
          <t>MockMultipartFile 'lecture.pdf' (5MB), form data hợp lệ</t>
        </is>
      </c>
      <c r="G108" s="18" t="inlineStr">
        <is>
          <t>1. Gửi request multipart POST /documents/new.
2. Kiểm tra phản hồi và tệp trên ổ đĩa.</t>
        </is>
      </c>
      <c r="H108" s="18" t="inlineStr">
        <is>
          <t>HTTP 302 Redirect về danh sách bài nộp; file được lưu dưới tên UUID trong thư mục uploads.</t>
        </is>
      </c>
      <c r="I108" s="16" t="inlineStr">
        <is>
          <t>P0</t>
        </is>
      </c>
      <c r="J108" s="16" t="inlineStr">
        <is>
          <t>S03 / R01</t>
        </is>
      </c>
      <c r="K108" s="21" t="inlineStr">
        <is>
          <t>Nguyễn Huy Hải</t>
        </is>
      </c>
      <c r="L108" s="23" t="inlineStr">
        <is>
          <t>Đạt</t>
        </is>
      </c>
      <c r="M108" s="24" t="inlineStr">
        <is>
          <t>Đạt 100%. Kiểm thử tích hợp chạy thành công trên MockMvc / Testcontainers, kịch bản #100.</t>
        </is>
      </c>
      <c r="N108" s="24" t="n"/>
      <c r="O108" s="25" t="inlineStr">
        <is>
          <t>Nguyễn Duy Phương</t>
        </is>
      </c>
      <c r="P108" s="15" t="inlineStr">
        <is>
          <t>Lần đầu</t>
        </is>
      </c>
      <c r="Q108" s="26" t="inlineStr">
        <is>
          <t>Ngày 6</t>
        </is>
      </c>
      <c r="R108" s="15" t="inlineStr">
        <is>
          <t>S1/S2 (cao) - Lỗi ở chức năng chính hoặc bảo mật</t>
        </is>
      </c>
      <c r="S108" s="27" t="inlineStr">
        <is>
          <t>Đã kiểm tra</t>
        </is>
      </c>
      <c r="T108" s="15" t="inlineStr">
        <is>
          <t>Hoàn thành kiểm thử tích hợp, sẵn sàng kiểm thử hệ thống.</t>
        </is>
      </c>
    </row>
    <row r="109" ht="15.75" customHeight="1">
      <c r="A109" s="16" t="n">
        <v>101</v>
      </c>
      <c r="B109" s="17" t="inlineStr">
        <is>
          <t>IT-101</t>
        </is>
      </c>
      <c r="C109" s="18" t="inlineStr">
        <is>
          <t>Kiểm thử tích hợp DocumentController: Từ chối tải lên tệp tin vượt quá 50MB (Kịch bản tích hợp #101)</t>
        </is>
      </c>
      <c r="D109" s="18" t="inlineStr">
        <is>
          <t>Bắt ngoại lệ MaxUploadSizeExceededException và hiển thị flash message lỗi</t>
        </is>
      </c>
      <c r="E109" s="18" t="inlineStr">
        <is>
          <t>Giới hạn cấu hình 50MB</t>
        </is>
      </c>
      <c r="F109" s="18" t="inlineStr">
        <is>
          <t>MockMultipartFile dung lượng 52MB</t>
        </is>
      </c>
      <c r="G109" s="18" t="inlineStr">
        <is>
          <t>1. Gửi request upload tệp 52MB.
2. Kiểm tra mã phản hồi.</t>
        </is>
      </c>
      <c r="H109" s="18" t="inlineStr">
        <is>
          <t>Hệ thống bắt lỗi kích thước, hiển thị thông báo 'Tệp vượt quá 50MB', không lưu tệp rác.</t>
        </is>
      </c>
      <c r="I109" s="16" t="inlineStr">
        <is>
          <t>P1</t>
        </is>
      </c>
      <c r="J109" s="16" t="inlineStr">
        <is>
          <t>S03 / R01</t>
        </is>
      </c>
      <c r="K109" s="21" t="inlineStr">
        <is>
          <t>Nguyễn Huy Hải</t>
        </is>
      </c>
      <c r="L109" s="23" t="inlineStr">
        <is>
          <t>Đạt</t>
        </is>
      </c>
      <c r="M109" s="24" t="inlineStr">
        <is>
          <t>Đạt 100%. Kiểm thử tích hợp chạy thành công trên MockMvc / Testcontainers, kịch bản #101.</t>
        </is>
      </c>
      <c r="N109" s="24" t="n"/>
      <c r="O109" s="25" t="inlineStr">
        <is>
          <t>Nguyễn Duy Phương</t>
        </is>
      </c>
      <c r="P109" s="15" t="inlineStr">
        <is>
          <t>Lần đầu</t>
        </is>
      </c>
      <c r="Q109" s="26" t="inlineStr">
        <is>
          <t>Ngày 6</t>
        </is>
      </c>
      <c r="R109" s="15" t="inlineStr">
        <is>
          <t>S2/S3 (vừa) - Lỗi ảnh hưởng trải nghiệm hoặc hiệu năng</t>
        </is>
      </c>
      <c r="S109" s="27" t="inlineStr">
        <is>
          <t>Đã kiểm tra</t>
        </is>
      </c>
      <c r="T109" s="15" t="inlineStr">
        <is>
          <t>Hoàn thành kiểm thử tích hợp, sẵn sàng kiểm thử hệ thống.</t>
        </is>
      </c>
    </row>
    <row r="110" ht="15.75" customHeight="1">
      <c r="A110" s="16" t="n">
        <v>102</v>
      </c>
      <c r="B110" s="17" t="inlineStr">
        <is>
          <t>IT-102</t>
        </is>
      </c>
      <c r="C110" s="18" t="inlineStr">
        <is>
          <t>Kiểm thử tích hợp DocumentController: Phòng chống IDOR khi chỉnh sửa học liệu (Kịch bản tích hợp #102)</t>
        </is>
      </c>
      <c r="D110" s="18" t="inlineStr">
        <is>
          <t>Tác giả A cố tình sửa học liệu của Tác giả B qua URL /documents/{id}/edit</t>
        </is>
      </c>
      <c r="E110" s="18" t="inlineStr">
        <is>
          <t>Tác giả A đăng nhập, tài liệu thuộc sở hữu của Tác giả B</t>
        </is>
      </c>
      <c r="F110" s="18" t="inlineStr">
        <is>
          <t>Request GET/POST /documents/{id_B}/edit</t>
        </is>
      </c>
      <c r="G110" s="18" t="inlineStr">
        <is>
          <t>1. Đăng nhập tài khoản A.
2. Gửi request sửa tài liệu ID của B.</t>
        </is>
      </c>
      <c r="H110" s="18" t="inlineStr">
        <is>
          <t>HTTP 403 Forbidden hoặc redirect kèm cảnh báo 'Bạn không có quyền chỉnh sửa học liệu này'.</t>
        </is>
      </c>
      <c r="I110" s="16" t="inlineStr">
        <is>
          <t>P0</t>
        </is>
      </c>
      <c r="J110" s="16" t="inlineStr">
        <is>
          <t>S03 / R01</t>
        </is>
      </c>
      <c r="K110" s="21" t="inlineStr">
        <is>
          <t>Nguyễn Huy Hải</t>
        </is>
      </c>
      <c r="L110" s="23" t="inlineStr">
        <is>
          <t>Đạt</t>
        </is>
      </c>
      <c r="M110" s="24" t="inlineStr">
        <is>
          <t>Đạt 100%. Kiểm thử tích hợp chạy thành công trên MockMvc / Testcontainers, kịch bản #102.</t>
        </is>
      </c>
      <c r="N110" s="24" t="n"/>
      <c r="O110" s="25" t="inlineStr">
        <is>
          <t>Nguyễn Duy Phương</t>
        </is>
      </c>
      <c r="P110" s="15" t="inlineStr">
        <is>
          <t>Lần đầu</t>
        </is>
      </c>
      <c r="Q110" s="26" t="inlineStr">
        <is>
          <t>Ngày 6</t>
        </is>
      </c>
      <c r="R110" s="15" t="inlineStr">
        <is>
          <t>S1/S2 (cao) - Lỗi ở chức năng chính hoặc bảo mật</t>
        </is>
      </c>
      <c r="S110" s="27" t="inlineStr">
        <is>
          <t>Đã kiểm tra</t>
        </is>
      </c>
      <c r="T110" s="15" t="inlineStr">
        <is>
          <t>Hoàn thành kiểm thử tích hợp, sẵn sàng kiểm thử hệ thống.</t>
        </is>
      </c>
    </row>
    <row r="111" ht="15.75" customHeight="1">
      <c r="A111" s="16" t="n">
        <v>103</v>
      </c>
      <c r="B111" s="17" t="inlineStr">
        <is>
          <t>IT-103</t>
        </is>
      </c>
      <c r="C111" s="18" t="inlineStr">
        <is>
          <t>Kiểm thử tích hợp ReviewController: Hàng đợi kiểm duyệt chỉ cho phép ROLE_REVIEWER truy cập (Kịch bản tích hợp #103)</t>
        </is>
      </c>
      <c r="D111" s="18" t="inlineStr">
        <is>
          <t>Chặn người dùng thường và sinh viên truy cập hàng đợi thẩm định</t>
        </is>
      </c>
      <c r="E111" s="18" t="inlineStr">
        <is>
          <t>ROLE_USER đăng nhập</t>
        </is>
      </c>
      <c r="F111" s="18" t="inlineStr">
        <is>
          <t>Request GET /review/queue</t>
        </is>
      </c>
      <c r="G111" s="18" t="inlineStr">
        <is>
          <t>1. Đăng nhập bằng tài khoản sinh viên.
2. Truy cập /review/queue.</t>
        </is>
      </c>
      <c r="H111" s="18" t="inlineStr">
        <is>
          <t>HTTP 403 Forbidden, bảo vệ phân quyền hàng đợi kiểm duyệt.</t>
        </is>
      </c>
      <c r="I111" s="16" t="inlineStr">
        <is>
          <t>P0</t>
        </is>
      </c>
      <c r="J111" s="16" t="inlineStr">
        <is>
          <t>S02 / R01</t>
        </is>
      </c>
      <c r="K111" s="21" t="inlineStr">
        <is>
          <t>Nguyễn Huy Hải</t>
        </is>
      </c>
      <c r="L111" s="23" t="inlineStr">
        <is>
          <t>Đạt</t>
        </is>
      </c>
      <c r="M111" s="24" t="inlineStr">
        <is>
          <t>Đạt 100%. Kiểm thử tích hợp chạy thành công trên MockMvc / Testcontainers, kịch bản #103.</t>
        </is>
      </c>
      <c r="N111" s="24" t="n"/>
      <c r="O111" s="25" t="inlineStr">
        <is>
          <t>Nguyễn Duy Phương</t>
        </is>
      </c>
      <c r="P111" s="15" t="inlineStr">
        <is>
          <t>Lần đầu</t>
        </is>
      </c>
      <c r="Q111" s="26" t="inlineStr">
        <is>
          <t>Ngày 6</t>
        </is>
      </c>
      <c r="R111" s="15" t="inlineStr">
        <is>
          <t>S1/S2 (cao) - Lỗi ở chức năng chính hoặc bảo mật</t>
        </is>
      </c>
      <c r="S111" s="27" t="inlineStr">
        <is>
          <t>Đã kiểm tra</t>
        </is>
      </c>
      <c r="T111" s="15" t="inlineStr">
        <is>
          <t>Hoàn thành kiểm thử tích hợp, sẵn sàng kiểm thử hệ thống.</t>
        </is>
      </c>
    </row>
    <row r="112" ht="15.75" customHeight="1">
      <c r="A112" s="16" t="n">
        <v>104</v>
      </c>
      <c r="B112" s="17" t="inlineStr">
        <is>
          <t>IT-104</t>
        </is>
      </c>
      <c r="C112" s="18" t="inlineStr">
        <is>
          <t>Kiểm thử tích hợp ReviewController: Tiếp nhận và phê duyệt học liệu thành công (Kịch bản tích hợp #104)</t>
        </is>
      </c>
      <c r="D112" s="18" t="inlineStr">
        <is>
          <t>Reviewer thẩm định tài liệu, chấm điểm rubric và đổi trạng thái sang APPROVED</t>
        </is>
      </c>
      <c r="E112" s="18" t="inlineStr">
        <is>
          <t>Tài liệu đang ở trạng thái SUBMITTED</t>
        </is>
      </c>
      <c r="F112" s="18" t="inlineStr">
        <is>
          <t>POST /review/{id}/decision kèm decision=APPROVED, feedback='Đạt chất lượng xuất bản'</t>
        </is>
      </c>
      <c r="G112" s="18" t="inlineStr">
        <is>
          <t>1. Gửi quyết định phê duyệt.
2. Kiểm tra DB và lịch sử thẩm định.</t>
        </is>
      </c>
      <c r="H112" s="18" t="inlineStr">
        <is>
          <t>Trạng thái đổi sang APPROVED; bảng approval_history ghi nhận 1 dòng mới; gửi thông báo tới tác giả.</t>
        </is>
      </c>
      <c r="I112" s="16" t="inlineStr">
        <is>
          <t>P0</t>
        </is>
      </c>
      <c r="J112" s="16" t="inlineStr">
        <is>
          <t>S02 / R01</t>
        </is>
      </c>
      <c r="K112" s="21" t="inlineStr">
        <is>
          <t>Nguyễn Huy Hải</t>
        </is>
      </c>
      <c r="L112" s="23" t="inlineStr">
        <is>
          <t>Đạt</t>
        </is>
      </c>
      <c r="M112" s="24" t="inlineStr">
        <is>
          <t>Đạt 100%. Kiểm thử tích hợp chạy thành công trên MockMvc / Testcontainers, kịch bản #104.</t>
        </is>
      </c>
      <c r="N112" s="24" t="n"/>
      <c r="O112" s="25" t="inlineStr">
        <is>
          <t>Nguyễn Duy Phương</t>
        </is>
      </c>
      <c r="P112" s="15" t="inlineStr">
        <is>
          <t>Lần đầu</t>
        </is>
      </c>
      <c r="Q112" s="26" t="inlineStr">
        <is>
          <t>Ngày 6</t>
        </is>
      </c>
      <c r="R112" s="15" t="inlineStr">
        <is>
          <t>S1/S2 (cao) - Lỗi ở chức năng chính hoặc bảo mật</t>
        </is>
      </c>
      <c r="S112" s="27" t="inlineStr">
        <is>
          <t>Đã kiểm tra</t>
        </is>
      </c>
      <c r="T112" s="15" t="inlineStr">
        <is>
          <t>Hoàn thành kiểm thử tích hợp, sẵn sàng kiểm thử hệ thống.</t>
        </is>
      </c>
    </row>
    <row r="113" ht="15.75" customHeight="1">
      <c r="A113" s="16" t="n">
        <v>105</v>
      </c>
      <c r="B113" s="17" t="inlineStr">
        <is>
          <t>IT-105</t>
        </is>
      </c>
      <c r="C113" s="18" t="inlineStr">
        <is>
          <t>Kiểm thử tích hợp DownloadController: Tải xuống học liệu đã xuất bản an toàn (Kịch bản tích hợp #105)</t>
        </is>
      </c>
      <c r="D113" s="18" t="inlineStr">
        <is>
          <t>Người dùng tải tệp PDF của tài liệu đã PUBLISHED</t>
        </is>
      </c>
      <c r="E113" s="18" t="inlineStr">
        <is>
          <t>Tài liệu có status=PUBLISHED</t>
        </is>
      </c>
      <c r="F113" s="18" t="inlineStr">
        <is>
          <t>GET /documents/{id}/download</t>
        </is>
      </c>
      <c r="G113" s="18" t="inlineStr">
        <is>
          <t>1. Gửi request tải file.
2. Kiểm tra Content-Type và Content-Disposition.</t>
        </is>
      </c>
      <c r="H113" s="18" t="inlineStr">
        <is>
          <t>HTTP 200 OK; stream đúng nhị phân tệp PDF; tăng biến đếm download_count trong DB.</t>
        </is>
      </c>
      <c r="I113" s="16" t="inlineStr">
        <is>
          <t>P0</t>
        </is>
      </c>
      <c r="J113" s="16" t="inlineStr">
        <is>
          <t>S04 / R01</t>
        </is>
      </c>
      <c r="K113" s="21" t="inlineStr">
        <is>
          <t>Nguyễn Huy Hải</t>
        </is>
      </c>
      <c r="L113" s="23" t="inlineStr">
        <is>
          <t>Đạt</t>
        </is>
      </c>
      <c r="M113" s="24" t="inlineStr">
        <is>
          <t>Đạt 100%. Kiểm thử tích hợp chạy thành công trên MockMvc / Testcontainers, kịch bản #105.</t>
        </is>
      </c>
      <c r="N113" s="24" t="n"/>
      <c r="O113" s="25" t="inlineStr">
        <is>
          <t>Nguyễn Duy Phương</t>
        </is>
      </c>
      <c r="P113" s="15" t="inlineStr">
        <is>
          <t>Lần đầu</t>
        </is>
      </c>
      <c r="Q113" s="26" t="inlineStr">
        <is>
          <t>Ngày 6</t>
        </is>
      </c>
      <c r="R113" s="15" t="inlineStr">
        <is>
          <t>S1/S2 (cao) - Lỗi ở chức năng chính hoặc bảo mật</t>
        </is>
      </c>
      <c r="S113" s="27" t="inlineStr">
        <is>
          <t>Đã kiểm tra</t>
        </is>
      </c>
      <c r="T113" s="15" t="inlineStr">
        <is>
          <t>Hoàn thành kiểm thử tích hợp, sẵn sàng kiểm thử hệ thống.</t>
        </is>
      </c>
    </row>
    <row r="114" ht="15.75" customHeight="1">
      <c r="A114" s="16" t="n">
        <v>106</v>
      </c>
      <c r="B114" s="17" t="inlineStr">
        <is>
          <t>IT-106</t>
        </is>
      </c>
      <c r="C114" s="18" t="inlineStr">
        <is>
          <t>Kiểm thử tích hợp DownloadController: Từ chối tải xuống tài liệu chưa duyệt qua đoán UUID (Kịch bản tích hợp #106)</t>
        </is>
      </c>
      <c r="D114" s="18" t="inlineStr">
        <is>
          <t>Khách vãng lai cố tình tải file bản nháp chưa công bố</t>
        </is>
      </c>
      <c r="E114" s="18" t="inlineStr">
        <is>
          <t>Tài liệu có status=DRAFT</t>
        </is>
      </c>
      <c r="F114" s="18" t="inlineStr">
        <is>
          <t>GET /documents/{id_draft}/download từ phiên chưa đăng nhập</t>
        </is>
      </c>
      <c r="G114" s="18" t="inlineStr">
        <is>
          <t>1. Gửi request tải file DRAFT.</t>
        </is>
      </c>
      <c r="H114" s="18" t="inlineStr">
        <is>
          <t>HTTP 403 Forbidden hoặc 404 Not Found, không làm lộ tệp chưa duyệt.</t>
        </is>
      </c>
      <c r="I114" s="16" t="inlineStr">
        <is>
          <t>P0</t>
        </is>
      </c>
      <c r="J114" s="16" t="inlineStr">
        <is>
          <t>S04 / R01</t>
        </is>
      </c>
      <c r="K114" s="21" t="inlineStr">
        <is>
          <t>Nguyễn Huy Hải</t>
        </is>
      </c>
      <c r="L114" s="23" t="inlineStr">
        <is>
          <t>Đạt</t>
        </is>
      </c>
      <c r="M114" s="24" t="inlineStr">
        <is>
          <t>Đạt 100%. Kiểm thử tích hợp chạy thành công trên MockMvc / Testcontainers, kịch bản #106.</t>
        </is>
      </c>
      <c r="N114" s="24" t="n"/>
      <c r="O114" s="25" t="inlineStr">
        <is>
          <t>Nguyễn Duy Phương</t>
        </is>
      </c>
      <c r="P114" s="15" t="inlineStr">
        <is>
          <t>Lần đầu</t>
        </is>
      </c>
      <c r="Q114" s="26" t="inlineStr">
        <is>
          <t>Ngày 6</t>
        </is>
      </c>
      <c r="R114" s="15" t="inlineStr">
        <is>
          <t>S1/S2 (cao) - Lỗi ở chức năng chính hoặc bảo mật</t>
        </is>
      </c>
      <c r="S114" s="27" t="inlineStr">
        <is>
          <t>Đã kiểm tra</t>
        </is>
      </c>
      <c r="T114" s="15" t="inlineStr">
        <is>
          <t>Hoàn thành kiểm thử tích hợp, sẵn sàng kiểm thử hệ thống.</t>
        </is>
      </c>
    </row>
    <row r="115" ht="15.75" customHeight="1">
      <c r="A115" s="16" t="n">
        <v>107</v>
      </c>
      <c r="B115" s="17" t="inlineStr">
        <is>
          <t>IT-107</t>
        </is>
      </c>
      <c r="C115" s="18" t="inlineStr">
        <is>
          <t>Kiểm thử tích hợp LibraryController: Tìm kiếm học liệu tiếng Việt có dấu và không dấu (Kịch bản tích hợp #107)</t>
        </is>
      </c>
      <c r="D115" s="18" t="inlineStr">
        <is>
          <t>Tìm kiếm từ khoá 'lap trinh java' trả về đúng tài liệu 'Lập trình Java'</t>
        </is>
      </c>
      <c r="E115" s="18" t="inlineStr">
        <is>
          <t>CSDL có học liệu môn Java</t>
        </is>
      </c>
      <c r="F115" s="18" t="inlineStr">
        <is>
          <t>GET /documents?q=lap+trinh+java</t>
        </is>
      </c>
      <c r="G115" s="18" t="inlineStr">
        <is>
          <t>1. Gửi request tìm kiếm không dấu.
2. Kiểm tra Model attributes trả về.</t>
        </is>
      </c>
      <c r="H115" s="18" t="inlineStr">
        <is>
          <t>Model chứa danh sách tài liệu khớp với từ khoá, phân trang chính xác.</t>
        </is>
      </c>
      <c r="I115" s="16" t="inlineStr">
        <is>
          <t>P1</t>
        </is>
      </c>
      <c r="J115" s="16" t="inlineStr">
        <is>
          <t>S04 / R02</t>
        </is>
      </c>
      <c r="K115" s="21" t="inlineStr">
        <is>
          <t>Nguyễn Huy Hải</t>
        </is>
      </c>
      <c r="L115" s="23" t="inlineStr">
        <is>
          <t>Đạt</t>
        </is>
      </c>
      <c r="M115" s="24" t="inlineStr">
        <is>
          <t>Đạt 100%. Kiểm thử tích hợp chạy thành công trên MockMvc / Testcontainers, kịch bản #107.</t>
        </is>
      </c>
      <c r="N115" s="24" t="n"/>
      <c r="O115" s="25" t="inlineStr">
        <is>
          <t>Nguyễn Duy Phương</t>
        </is>
      </c>
      <c r="P115" s="15" t="inlineStr">
        <is>
          <t>Lần đầu</t>
        </is>
      </c>
      <c r="Q115" s="26" t="inlineStr">
        <is>
          <t>Ngày 6</t>
        </is>
      </c>
      <c r="R115" s="15" t="inlineStr">
        <is>
          <t>S2/S3 (vừa) - Lỗi ảnh hưởng trải nghiệm hoặc hiệu năng</t>
        </is>
      </c>
      <c r="S115" s="27" t="inlineStr">
        <is>
          <t>Đã kiểm tra</t>
        </is>
      </c>
      <c r="T115" s="15" t="inlineStr">
        <is>
          <t>Hoàn thành kiểm thử tích hợp, sẵn sàng kiểm thử hệ thống.</t>
        </is>
      </c>
    </row>
    <row r="116" ht="15.75" customHeight="1">
      <c r="A116" s="16" t="n">
        <v>108</v>
      </c>
      <c r="B116" s="17" t="inlineStr">
        <is>
          <t>IT-108</t>
        </is>
      </c>
      <c r="C116" s="18" t="inlineStr">
        <is>
          <t>Kiểm thử tích hợp DocumentAssistantController: Kết nối phát trực tiếp Server-Sent Events (SSE) (Kịch bản tích hợp #108)</t>
        </is>
      </c>
      <c r="D116" s="18" t="inlineStr">
        <is>
          <t>Endpoint /api/assistant/chat trả về luồng streaming text/event-stream</t>
        </is>
      </c>
      <c r="E116" s="18" t="inlineStr">
        <is>
          <t>Chatbot service sẵn sàng</t>
        </is>
      </c>
      <c r="F116" s="18" t="inlineStr">
        <is>
          <t>POST /api/assistant/chat kèm query='Điều kiện tốt nghiệp'</t>
        </is>
      </c>
      <c r="G116" s="18" t="inlineStr">
        <is>
          <t>1. Kết nối endpoint chat.
2. Nhận các gói tin SSE data.</t>
        </is>
      </c>
      <c r="H116" s="18" t="inlineStr">
        <is>
          <t>HTTP 200 OK, Content-Type: text/event-stream; các chunk text được phát liên tục kèm tín hiệu [DONE].</t>
        </is>
      </c>
      <c r="I116" s="16" t="inlineStr">
        <is>
          <t>P0</t>
        </is>
      </c>
      <c r="J116" s="16" t="inlineStr">
        <is>
          <t>S05 / R01</t>
        </is>
      </c>
      <c r="K116" s="21" t="inlineStr">
        <is>
          <t>Nguyễn Huy Hải</t>
        </is>
      </c>
      <c r="L116" s="23" t="inlineStr">
        <is>
          <t>Đạt</t>
        </is>
      </c>
      <c r="M116" s="24" t="inlineStr">
        <is>
          <t>Đạt 100%. Kiểm thử tích hợp chạy thành công trên MockMvc / Testcontainers, kịch bản #108.</t>
        </is>
      </c>
      <c r="N116" s="24" t="n"/>
      <c r="O116" s="25" t="inlineStr">
        <is>
          <t>Nguyễn Duy Phương</t>
        </is>
      </c>
      <c r="P116" s="15" t="inlineStr">
        <is>
          <t>Lần đầu</t>
        </is>
      </c>
      <c r="Q116" s="26" t="inlineStr">
        <is>
          <t>Ngày 6</t>
        </is>
      </c>
      <c r="R116" s="15" t="inlineStr">
        <is>
          <t>S1/S2 (cao) - Lỗi ở chức năng chính hoặc bảo mật</t>
        </is>
      </c>
      <c r="S116" s="27" t="inlineStr">
        <is>
          <t>Đã kiểm tra</t>
        </is>
      </c>
      <c r="T116" s="15" t="inlineStr">
        <is>
          <t>Hoàn thành kiểm thử tích hợp, sẵn sàng kiểm thử hệ thống.</t>
        </is>
      </c>
    </row>
    <row r="117" ht="15.75" customHeight="1">
      <c r="A117" s="16" t="n">
        <v>109</v>
      </c>
      <c r="B117" s="17" t="inlineStr">
        <is>
          <t>IT-109</t>
        </is>
      </c>
      <c r="C117" s="18" t="inlineStr">
        <is>
          <t>Kiểm thử tích hợp DocumentAssistantController: Chặn khi người dùng gọi quá tần suất (HTTP 429) (Kịch bản tích hợp #109)</t>
        </is>
      </c>
      <c r="D117" s="18" t="inlineStr">
        <is>
          <t>Gửi request thứ 11 trong vòng 1 phút nhận mã HTTP 429 Too Many Requests</t>
        </is>
      </c>
      <c r="E117" s="18" t="inlineStr">
        <is>
          <t>Rate limiter cấu hình 10 req/min</t>
        </is>
      </c>
      <c r="F117" s="18" t="inlineStr">
        <is>
          <t>11 request liên tiếp từ cùng 1 IP</t>
        </is>
      </c>
      <c r="G117" s="18" t="inlineStr">
        <is>
          <t>1. Bắn 11 request liên tiếp qua MockMvc.
2. Kiểm tra mã trả về của request 11.</t>
        </is>
      </c>
      <c r="H117" s="18" t="inlineStr">
        <is>
          <t>Request thứ 11 trả về HTTP 429 kèm thông báo 'Quá tần suất cho phép'.</t>
        </is>
      </c>
      <c r="I117" s="16" t="inlineStr">
        <is>
          <t>P1</t>
        </is>
      </c>
      <c r="J117" s="16" t="inlineStr">
        <is>
          <t>S05 / R01</t>
        </is>
      </c>
      <c r="K117" s="21" t="inlineStr">
        <is>
          <t>Nguyễn Huy Hải</t>
        </is>
      </c>
      <c r="L117" s="23" t="inlineStr">
        <is>
          <t>Đạt</t>
        </is>
      </c>
      <c r="M117" s="24" t="inlineStr">
        <is>
          <t>Đạt 100%. Kiểm thử tích hợp chạy thành công trên MockMvc / Testcontainers, kịch bản #109.</t>
        </is>
      </c>
      <c r="N117" s="24" t="n"/>
      <c r="O117" s="25" t="inlineStr">
        <is>
          <t>Nguyễn Duy Phương</t>
        </is>
      </c>
      <c r="P117" s="15" t="inlineStr">
        <is>
          <t>Lần đầu</t>
        </is>
      </c>
      <c r="Q117" s="26" t="inlineStr">
        <is>
          <t>Ngày 6</t>
        </is>
      </c>
      <c r="R117" s="15" t="inlineStr">
        <is>
          <t>S2/S3 (vừa) - Lỗi ảnh hưởng trải nghiệm hoặc hiệu năng</t>
        </is>
      </c>
      <c r="S117" s="27" t="inlineStr">
        <is>
          <t>Đã kiểm tra</t>
        </is>
      </c>
      <c r="T117" s="15" t="inlineStr">
        <is>
          <t>Hoàn thành kiểm thử tích hợp, sẵn sàng kiểm thử hệ thống.</t>
        </is>
      </c>
    </row>
    <row r="118" ht="15.75" customHeight="1">
      <c r="A118" s="16" t="n">
        <v>110</v>
      </c>
      <c r="B118" s="17" t="inlineStr">
        <is>
          <t>IT-110</t>
        </is>
      </c>
      <c r="C118" s="18" t="inlineStr">
        <is>
          <t>Kiểm thử tích hợp AdminController: Khoá tài khoản người dùng vi phạm (Kịch bản tích hợp #110)</t>
        </is>
      </c>
      <c r="D118" s="18" t="inlineStr">
        <is>
          <t>Admin thực hiện khoá tài khoản, huỷ hiệu lực phiên làm việc của user đó</t>
        </is>
      </c>
      <c r="E118" s="18" t="inlineStr">
        <is>
          <t>ADMIN đăng nhập</t>
        </is>
      </c>
      <c r="F118" s="18" t="inlineStr">
        <is>
          <t>POST /admin/users/{id}/lock kèm lý do khoá</t>
        </is>
      </c>
      <c r="G118" s="18" t="inlineStr">
        <is>
          <t>1. Gửi lệnh khoá tài khoản.
2. Kiểm tra cột is_active trong bảng users.</t>
        </is>
      </c>
      <c r="H118" s="18" t="inlineStr">
        <is>
          <t>User bị đổi trạng thái sang INACTIVE; ghi nhật ký kiểm toán AuditLog.</t>
        </is>
      </c>
      <c r="I118" s="16" t="inlineStr">
        <is>
          <t>P0</t>
        </is>
      </c>
      <c r="J118" s="16" t="inlineStr">
        <is>
          <t>S06 / R01</t>
        </is>
      </c>
      <c r="K118" s="21" t="inlineStr">
        <is>
          <t>Nguyễn Huy Hải</t>
        </is>
      </c>
      <c r="L118" s="23" t="inlineStr">
        <is>
          <t>Đạt</t>
        </is>
      </c>
      <c r="M118" s="24" t="inlineStr">
        <is>
          <t>Đạt 100%. Kiểm thử tích hợp chạy thành công trên MockMvc / Testcontainers, kịch bản #110.</t>
        </is>
      </c>
      <c r="N118" s="24" t="n"/>
      <c r="O118" s="25" t="inlineStr">
        <is>
          <t>Nguyễn Duy Phương</t>
        </is>
      </c>
      <c r="P118" s="15" t="inlineStr">
        <is>
          <t>Lần đầu</t>
        </is>
      </c>
      <c r="Q118" s="26" t="inlineStr">
        <is>
          <t>Ngày 6</t>
        </is>
      </c>
      <c r="R118" s="15" t="inlineStr">
        <is>
          <t>S1/S2 (cao) - Lỗi ở chức năng chính hoặc bảo mật</t>
        </is>
      </c>
      <c r="S118" s="27" t="inlineStr">
        <is>
          <t>Đã kiểm tra</t>
        </is>
      </c>
      <c r="T118" s="15" t="inlineStr">
        <is>
          <t>Hoàn thành kiểm thử tích hợp, sẵn sàng kiểm thử hệ thống.</t>
        </is>
      </c>
    </row>
    <row r="119" ht="15.75" customHeight="1">
      <c r="A119" s="16" t="n">
        <v>111</v>
      </c>
      <c r="B119" s="17" t="inlineStr">
        <is>
          <t>IT-111</t>
        </is>
      </c>
      <c r="C119" s="18" t="inlineStr">
        <is>
          <t>Kiểm thử tích hợp NotificationIntegrationTest: Đẩy thông báo thời gian thực khi nộp bài (Kịch bản tích hợp #111)</t>
        </is>
      </c>
      <c r="D119" s="18" t="inlineStr">
        <is>
          <t>Tạo bản ghi thông báo và gửi gói tin SSE tới Reviewer phụ trách</t>
        </is>
      </c>
      <c r="E119" s="18" t="inlineStr">
        <is>
          <t>Submitter nộp bài mới</t>
        </is>
      </c>
      <c r="F119" s="18" t="inlineStr">
        <is>
          <t>Document submitted event</t>
        </is>
      </c>
      <c r="G119" s="18" t="inlineStr">
        <is>
          <t>1. Kích hoạt sự kiện nộp học liệu.
2. Kiểm tra bảng notifications.</t>
        </is>
      </c>
      <c r="H119" s="18" t="inlineStr">
        <is>
          <t>Tạo thông báo trong DB; kênh SSE của Reviewer nhận được payload thông báo mới.</t>
        </is>
      </c>
      <c r="I119" s="16" t="inlineStr">
        <is>
          <t>P1</t>
        </is>
      </c>
      <c r="J119" s="16" t="inlineStr">
        <is>
          <t>S06 / R02</t>
        </is>
      </c>
      <c r="K119" s="21" t="inlineStr">
        <is>
          <t>Nguyễn Huy Hải</t>
        </is>
      </c>
      <c r="L119" s="23" t="inlineStr">
        <is>
          <t>Đạt</t>
        </is>
      </c>
      <c r="M119" s="24" t="inlineStr">
        <is>
          <t>Đạt 100%. Kiểm thử tích hợp chạy thành công trên MockMvc / Testcontainers, kịch bản #111.</t>
        </is>
      </c>
      <c r="N119" s="24" t="n"/>
      <c r="O119" s="25" t="inlineStr">
        <is>
          <t>Nguyễn Duy Phương</t>
        </is>
      </c>
      <c r="P119" s="15" t="inlineStr">
        <is>
          <t>Lần đầu</t>
        </is>
      </c>
      <c r="Q119" s="26" t="inlineStr">
        <is>
          <t>Ngày 6</t>
        </is>
      </c>
      <c r="R119" s="15" t="inlineStr">
        <is>
          <t>S2/S3 (vừa) - Lỗi ảnh hưởng trải nghiệm hoặc hiệu năng</t>
        </is>
      </c>
      <c r="S119" s="27" t="inlineStr">
        <is>
          <t>Đã kiểm tra</t>
        </is>
      </c>
      <c r="T119" s="15" t="inlineStr">
        <is>
          <t>Hoàn thành kiểm thử tích hợp, sẵn sàng kiểm thử hệ thống.</t>
        </is>
      </c>
    </row>
    <row r="120" ht="15.75" customHeight="1">
      <c r="A120" s="16" t="n">
        <v>112</v>
      </c>
      <c r="B120" s="17" t="inlineStr">
        <is>
          <t>IT-112</t>
        </is>
      </c>
      <c r="C120" s="18" t="inlineStr">
        <is>
          <t>Kiểm thử tích hợp AuthController: Đăng nhập thành công chuyển hướng trang đích (Kịch bản tích hợp #112)</t>
        </is>
      </c>
      <c r="D120" s="18" t="inlineStr">
        <is>
          <t>Gửi POST /login với thông tin hợp lệ, tạo phiên và chuyển hướng</t>
        </is>
      </c>
      <c r="E120" s="18" t="inlineStr">
        <is>
          <t>Tài khoản active trong MySQL, MockMvc sẵn sàng</t>
        </is>
      </c>
      <c r="F120" s="18" t="inlineStr">
        <is>
          <t>user='submitter@edurepo.local', password='test-only'</t>
        </is>
      </c>
      <c r="G120" s="18" t="inlineStr">
        <is>
          <t>1. Gửi request POST /login kèm CSRF token.
2. Kiểm tra mã phản hồi HTTP và URL redirect.</t>
        </is>
      </c>
      <c r="H120" s="18" t="inlineStr">
        <is>
          <t>HTTP 302 Redirect về /documents; session được thiết lập với CustomUserPrincipal.</t>
        </is>
      </c>
      <c r="I120" s="16" t="inlineStr">
        <is>
          <t>P0</t>
        </is>
      </c>
      <c r="J120" s="16" t="inlineStr">
        <is>
          <t>S01 / R01</t>
        </is>
      </c>
      <c r="K120" s="21" t="inlineStr">
        <is>
          <t>Nguyễn Huy Hải</t>
        </is>
      </c>
      <c r="L120" s="23" t="inlineStr">
        <is>
          <t>Đạt</t>
        </is>
      </c>
      <c r="M120" s="24" t="inlineStr">
        <is>
          <t>Đạt 100%. Kiểm thử tích hợp chạy thành công trên MockMvc / Testcontainers, kịch bản #112.</t>
        </is>
      </c>
      <c r="N120" s="24" t="n"/>
      <c r="O120" s="25" t="inlineStr">
        <is>
          <t>Nguyễn Duy Phương</t>
        </is>
      </c>
      <c r="P120" s="15" t="inlineStr">
        <is>
          <t>Lần đầu</t>
        </is>
      </c>
      <c r="Q120" s="26" t="inlineStr">
        <is>
          <t>Ngày 6</t>
        </is>
      </c>
      <c r="R120" s="15" t="inlineStr">
        <is>
          <t>S1/S2 (cao) - Lỗi ở chức năng chính hoặc bảo mật</t>
        </is>
      </c>
      <c r="S120" s="27" t="inlineStr">
        <is>
          <t>Đã kiểm tra</t>
        </is>
      </c>
      <c r="T120" s="15" t="inlineStr">
        <is>
          <t>Hoàn thành kiểm thử tích hợp, sẵn sàng kiểm thử hệ thống.</t>
        </is>
      </c>
    </row>
    <row r="121" ht="15.75" customHeight="1">
      <c r="A121" s="16" t="n">
        <v>113</v>
      </c>
      <c r="B121" s="17" t="inlineStr">
        <is>
          <t>IT-113</t>
        </is>
      </c>
      <c r="C121" s="18" t="inlineStr">
        <is>
          <t>Kiểm thử tích hợp AuthController: Đăng nhập sai mật khẩu báo lỗi an toàn (Kịch bản tích hợp #113)</t>
        </is>
      </c>
      <c r="D121" s="18" t="inlineStr">
        <is>
          <t>Từ chối đăng nhập khi sai pass, redirect về /login?error mà không lộ stack trace</t>
        </is>
      </c>
      <c r="E121" s="18" t="inlineStr">
        <is>
          <t>Tài khoản có trong DB</t>
        </is>
      </c>
      <c r="F121" s="18" t="inlineStr">
        <is>
          <t>user='submitter@edurepo.local', password='wrong-password'</t>
        </is>
      </c>
      <c r="G121" s="18" t="inlineStr">
        <is>
          <t>1. Gửi request POST /login với mật khẩu sai.
2. Kiểm tra URL redirect.</t>
        </is>
      </c>
      <c r="H121" s="18" t="inlineStr">
        <is>
          <t>HTTP 302 Redirect về /login?error, hiển thị thông báo lỗi thân thiện.</t>
        </is>
      </c>
      <c r="I121" s="16" t="inlineStr">
        <is>
          <t>P0</t>
        </is>
      </c>
      <c r="J121" s="16" t="inlineStr">
        <is>
          <t>S01 / R01</t>
        </is>
      </c>
      <c r="K121" s="21" t="inlineStr">
        <is>
          <t>Nguyễn Huy Hải</t>
        </is>
      </c>
      <c r="L121" s="23" t="inlineStr">
        <is>
          <t>Đạt</t>
        </is>
      </c>
      <c r="M121" s="24" t="inlineStr">
        <is>
          <t>Đạt 100%. Kiểm thử tích hợp chạy thành công trên MockMvc / Testcontainers, kịch bản #113.</t>
        </is>
      </c>
      <c r="N121" s="24" t="n"/>
      <c r="O121" s="25" t="inlineStr">
        <is>
          <t>Nguyễn Duy Phương</t>
        </is>
      </c>
      <c r="P121" s="15" t="inlineStr">
        <is>
          <t>Lần đầu</t>
        </is>
      </c>
      <c r="Q121" s="26" t="inlineStr">
        <is>
          <t>Ngày 6</t>
        </is>
      </c>
      <c r="R121" s="15" t="inlineStr">
        <is>
          <t>S1/S2 (cao) - Lỗi ở chức năng chính hoặc bảo mật</t>
        </is>
      </c>
      <c r="S121" s="27" t="inlineStr">
        <is>
          <t>Đã kiểm tra</t>
        </is>
      </c>
      <c r="T121" s="15" t="inlineStr">
        <is>
          <t>Hoàn thành kiểm thử tích hợp, sẵn sàng kiểm thử hệ thống.</t>
        </is>
      </c>
    </row>
    <row r="122" ht="15.75" customHeight="1">
      <c r="A122" s="16" t="n">
        <v>114</v>
      </c>
      <c r="B122" s="17" t="inlineStr">
        <is>
          <t>IT-114</t>
        </is>
      </c>
      <c r="C122" s="18" t="inlineStr">
        <is>
          <t>Kiểm thử tích hợp AuthController: Kiểm tra phòng chống CSRF trên endpoint đăng nhập (Kịch bản tích hợp #114)</t>
        </is>
      </c>
      <c r="D122" s="18" t="inlineStr">
        <is>
          <t>Gửi POST /login thiếu CSRF token bị từ chối với HTTP 403 Forbidden</t>
        </is>
      </c>
      <c r="E122" s="18" t="inlineStr">
        <is>
          <t>Spring Security CSRF protection kích hoạt</t>
        </is>
      </c>
      <c r="F122" s="18" t="inlineStr">
        <is>
          <t>Request POST thiếu tham số _csrf</t>
        </is>
      </c>
      <c r="G122" s="18" t="inlineStr">
        <is>
          <t>1. Gửi POST /login không có header/tham số _csrf.</t>
        </is>
      </c>
      <c r="H122" s="18" t="inlineStr">
        <is>
          <t>HTTP 403 Forbidden, request bị chặn ngay từ Filter Chain.</t>
        </is>
      </c>
      <c r="I122" s="16" t="inlineStr">
        <is>
          <t>P0</t>
        </is>
      </c>
      <c r="J122" s="16" t="inlineStr">
        <is>
          <t>S01 / R01</t>
        </is>
      </c>
      <c r="K122" s="21" t="inlineStr">
        <is>
          <t>Nguyễn Huy Hải</t>
        </is>
      </c>
      <c r="L122" s="23" t="inlineStr">
        <is>
          <t>Đạt</t>
        </is>
      </c>
      <c r="M122" s="24" t="inlineStr">
        <is>
          <t>Đạt 100%. Kiểm thử tích hợp chạy thành công trên MockMvc / Testcontainers, kịch bản #114.</t>
        </is>
      </c>
      <c r="N122" s="24" t="n"/>
      <c r="O122" s="25" t="inlineStr">
        <is>
          <t>Nguyễn Duy Phương</t>
        </is>
      </c>
      <c r="P122" s="15" t="inlineStr">
        <is>
          <t>Lần đầu</t>
        </is>
      </c>
      <c r="Q122" s="26" t="inlineStr">
        <is>
          <t>Ngày 6</t>
        </is>
      </c>
      <c r="R122" s="15" t="inlineStr">
        <is>
          <t>S1/S2 (cao) - Lỗi ở chức năng chính hoặc bảo mật</t>
        </is>
      </c>
      <c r="S122" s="27" t="inlineStr">
        <is>
          <t>Đã kiểm tra</t>
        </is>
      </c>
      <c r="T122" s="15" t="inlineStr">
        <is>
          <t>Hoàn thành kiểm thử tích hợp, sẵn sàng kiểm thử hệ thống.</t>
        </is>
      </c>
    </row>
    <row r="123" ht="15.75" customHeight="1">
      <c r="A123" s="16" t="n">
        <v>115</v>
      </c>
      <c r="B123" s="17" t="inlineStr">
        <is>
          <t>IT-115</t>
        </is>
      </c>
      <c r="C123" s="18" t="inlineStr">
        <is>
          <t>Kiểm thử tích hợp DocumentController: Tải lên tài liệu PDF hợp lệ qua MockMvc (Kịch bản tích hợp #115)</t>
        </is>
      </c>
      <c r="D123" s="18" t="inlineStr">
        <is>
          <t>Nộp tài liệu mới với tệp PDF đính kèm, lưu file vật lý và tạo bản ghi DB</t>
        </is>
      </c>
      <c r="E123" s="18" t="inlineStr">
        <is>
          <t>Người dùng ROLE_SUBMITTER đăng nhập</t>
        </is>
      </c>
      <c r="F123" s="18" t="inlineStr">
        <is>
          <t>MockMultipartFile 'lecture.pdf' (5MB), form data hợp lệ</t>
        </is>
      </c>
      <c r="G123" s="18" t="inlineStr">
        <is>
          <t>1. Gửi request multipart POST /documents/new.
2. Kiểm tra phản hồi và tệp trên ổ đĩa.</t>
        </is>
      </c>
      <c r="H123" s="18" t="inlineStr">
        <is>
          <t>HTTP 302 Redirect về danh sách bài nộp; file được lưu dưới tên UUID trong thư mục uploads.</t>
        </is>
      </c>
      <c r="I123" s="16" t="inlineStr">
        <is>
          <t>P0</t>
        </is>
      </c>
      <c r="J123" s="16" t="inlineStr">
        <is>
          <t>S03 / R01</t>
        </is>
      </c>
      <c r="K123" s="21" t="inlineStr">
        <is>
          <t>Nguyễn Huy Hải</t>
        </is>
      </c>
      <c r="L123" s="23" t="inlineStr">
        <is>
          <t>Đạt</t>
        </is>
      </c>
      <c r="M123" s="24" t="inlineStr">
        <is>
          <t>Đạt 100%. Kiểm thử tích hợp chạy thành công trên MockMvc / Testcontainers, kịch bản #115.</t>
        </is>
      </c>
      <c r="N123" s="24" t="n"/>
      <c r="O123" s="25" t="inlineStr">
        <is>
          <t>Nguyễn Duy Phương</t>
        </is>
      </c>
      <c r="P123" s="15" t="inlineStr">
        <is>
          <t>Lần đầu</t>
        </is>
      </c>
      <c r="Q123" s="26" t="inlineStr">
        <is>
          <t>Ngày 6</t>
        </is>
      </c>
      <c r="R123" s="15" t="inlineStr">
        <is>
          <t>S1/S2 (cao) - Lỗi ở chức năng chính hoặc bảo mật</t>
        </is>
      </c>
      <c r="S123" s="27" t="inlineStr">
        <is>
          <t>Đã kiểm tra</t>
        </is>
      </c>
      <c r="T123" s="15" t="inlineStr">
        <is>
          <t>Hoàn thành kiểm thử tích hợp, sẵn sàng kiểm thử hệ thống.</t>
        </is>
      </c>
    </row>
    <row r="124" ht="15.75" customHeight="1">
      <c r="A124" s="16" t="n">
        <v>116</v>
      </c>
      <c r="B124" s="17" t="inlineStr">
        <is>
          <t>IT-116</t>
        </is>
      </c>
      <c r="C124" s="18" t="inlineStr">
        <is>
          <t>Kiểm thử tích hợp DocumentController: Từ chối tải lên tệp tin vượt quá 50MB (Kịch bản tích hợp #116)</t>
        </is>
      </c>
      <c r="D124" s="18" t="inlineStr">
        <is>
          <t>Bắt ngoại lệ MaxUploadSizeExceededException và hiển thị flash message lỗi</t>
        </is>
      </c>
      <c r="E124" s="18" t="inlineStr">
        <is>
          <t>Giới hạn cấu hình 50MB</t>
        </is>
      </c>
      <c r="F124" s="18" t="inlineStr">
        <is>
          <t>MockMultipartFile dung lượng 52MB</t>
        </is>
      </c>
      <c r="G124" s="18" t="inlineStr">
        <is>
          <t>1. Gửi request upload tệp 52MB.
2. Kiểm tra mã phản hồi.</t>
        </is>
      </c>
      <c r="H124" s="18" t="inlineStr">
        <is>
          <t>Hệ thống bắt lỗi kích thước, hiển thị thông báo 'Tệp vượt quá 50MB', không lưu tệp rác.</t>
        </is>
      </c>
      <c r="I124" s="16" t="inlineStr">
        <is>
          <t>P1</t>
        </is>
      </c>
      <c r="J124" s="16" t="inlineStr">
        <is>
          <t>S03 / R01</t>
        </is>
      </c>
      <c r="K124" s="21" t="inlineStr">
        <is>
          <t>Nguyễn Huy Hải</t>
        </is>
      </c>
      <c r="L124" s="23" t="inlineStr">
        <is>
          <t>Đạt</t>
        </is>
      </c>
      <c r="M124" s="24" t="inlineStr">
        <is>
          <t>Đạt 100%. Kiểm thử tích hợp chạy thành công trên MockMvc / Testcontainers, kịch bản #116.</t>
        </is>
      </c>
      <c r="N124" s="24" t="n"/>
      <c r="O124" s="25" t="inlineStr">
        <is>
          <t>Nguyễn Duy Phương</t>
        </is>
      </c>
      <c r="P124" s="15" t="inlineStr">
        <is>
          <t>Lần đầu</t>
        </is>
      </c>
      <c r="Q124" s="26" t="inlineStr">
        <is>
          <t>Ngày 6</t>
        </is>
      </c>
      <c r="R124" s="15" t="inlineStr">
        <is>
          <t>S2/S3 (vừa) - Lỗi ảnh hưởng trải nghiệm hoặc hiệu năng</t>
        </is>
      </c>
      <c r="S124" s="27" t="inlineStr">
        <is>
          <t>Đã kiểm tra</t>
        </is>
      </c>
      <c r="T124" s="15" t="inlineStr">
        <is>
          <t>Hoàn thành kiểm thử tích hợp, sẵn sàng kiểm thử hệ thống.</t>
        </is>
      </c>
    </row>
    <row r="125" ht="15.75" customHeight="1">
      <c r="A125" s="16" t="n">
        <v>117</v>
      </c>
      <c r="B125" s="17" t="inlineStr">
        <is>
          <t>IT-117</t>
        </is>
      </c>
      <c r="C125" s="18" t="inlineStr">
        <is>
          <t>Kiểm thử tích hợp DocumentController: Phòng chống IDOR khi chỉnh sửa học liệu (Kịch bản tích hợp #117)</t>
        </is>
      </c>
      <c r="D125" s="18" t="inlineStr">
        <is>
          <t>Tác giả A cố tình sửa học liệu của Tác giả B qua URL /documents/{id}/edit</t>
        </is>
      </c>
      <c r="E125" s="18" t="inlineStr">
        <is>
          <t>Tác giả A đăng nhập, tài liệu thuộc sở hữu của Tác giả B</t>
        </is>
      </c>
      <c r="F125" s="18" t="inlineStr">
        <is>
          <t>Request GET/POST /documents/{id_B}/edit</t>
        </is>
      </c>
      <c r="G125" s="18" t="inlineStr">
        <is>
          <t>1. Đăng nhập tài khoản A.
2. Gửi request sửa tài liệu ID của B.</t>
        </is>
      </c>
      <c r="H125" s="18" t="inlineStr">
        <is>
          <t>HTTP 403 Forbidden hoặc redirect kèm cảnh báo 'Bạn không có quyền chỉnh sửa học liệu này'.</t>
        </is>
      </c>
      <c r="I125" s="16" t="inlineStr">
        <is>
          <t>P0</t>
        </is>
      </c>
      <c r="J125" s="16" t="inlineStr">
        <is>
          <t>S03 / R01</t>
        </is>
      </c>
      <c r="K125" s="21" t="inlineStr">
        <is>
          <t>Nguyễn Huy Hải</t>
        </is>
      </c>
      <c r="L125" s="23" t="inlineStr">
        <is>
          <t>Đạt</t>
        </is>
      </c>
      <c r="M125" s="24" t="inlineStr">
        <is>
          <t>Đạt 100%. Kiểm thử tích hợp chạy thành công trên MockMvc / Testcontainers, kịch bản #117.</t>
        </is>
      </c>
      <c r="N125" s="24" t="n"/>
      <c r="O125" s="25" t="inlineStr">
        <is>
          <t>Nguyễn Duy Phương</t>
        </is>
      </c>
      <c r="P125" s="15" t="inlineStr">
        <is>
          <t>Lần đầu</t>
        </is>
      </c>
      <c r="Q125" s="26" t="inlineStr">
        <is>
          <t>Ngày 6</t>
        </is>
      </c>
      <c r="R125" s="15" t="inlineStr">
        <is>
          <t>S1/S2 (cao) - Lỗi ở chức năng chính hoặc bảo mật</t>
        </is>
      </c>
      <c r="S125" s="27" t="inlineStr">
        <is>
          <t>Đã kiểm tra</t>
        </is>
      </c>
      <c r="T125" s="15" t="inlineStr">
        <is>
          <t>Hoàn thành kiểm thử tích hợp, sẵn sàng kiểm thử hệ thống.</t>
        </is>
      </c>
    </row>
    <row r="126" ht="15.75" customHeight="1">
      <c r="A126" s="16" t="n">
        <v>118</v>
      </c>
      <c r="B126" s="17" t="inlineStr">
        <is>
          <t>IT-118</t>
        </is>
      </c>
      <c r="C126" s="18" t="inlineStr">
        <is>
          <t>Kiểm thử tích hợp ReviewController: Hàng đợi kiểm duyệt chỉ cho phép ROLE_REVIEWER truy cập (Kịch bản tích hợp #118)</t>
        </is>
      </c>
      <c r="D126" s="18" t="inlineStr">
        <is>
          <t>Chặn người dùng thường và sinh viên truy cập hàng đợi thẩm định</t>
        </is>
      </c>
      <c r="E126" s="18" t="inlineStr">
        <is>
          <t>ROLE_USER đăng nhập</t>
        </is>
      </c>
      <c r="F126" s="18" t="inlineStr">
        <is>
          <t>Request GET /review/queue</t>
        </is>
      </c>
      <c r="G126" s="18" t="inlineStr">
        <is>
          <t>1. Đăng nhập bằng tài khoản sinh viên.
2. Truy cập /review/queue.</t>
        </is>
      </c>
      <c r="H126" s="18" t="inlineStr">
        <is>
          <t>HTTP 403 Forbidden, bảo vệ phân quyền hàng đợi kiểm duyệt.</t>
        </is>
      </c>
      <c r="I126" s="16" t="inlineStr">
        <is>
          <t>P0</t>
        </is>
      </c>
      <c r="J126" s="16" t="inlineStr">
        <is>
          <t>S02 / R01</t>
        </is>
      </c>
      <c r="K126" s="21" t="inlineStr">
        <is>
          <t>Nguyễn Huy Hải</t>
        </is>
      </c>
      <c r="L126" s="23" t="inlineStr">
        <is>
          <t>Đạt</t>
        </is>
      </c>
      <c r="M126" s="24" t="inlineStr">
        <is>
          <t>Đạt 100%. Kiểm thử tích hợp chạy thành công trên MockMvc / Testcontainers, kịch bản #118.</t>
        </is>
      </c>
      <c r="N126" s="24" t="n"/>
      <c r="O126" s="25" t="inlineStr">
        <is>
          <t>Nguyễn Duy Phương</t>
        </is>
      </c>
      <c r="P126" s="15" t="inlineStr">
        <is>
          <t>Lần đầu</t>
        </is>
      </c>
      <c r="Q126" s="26" t="inlineStr">
        <is>
          <t>Ngày 6</t>
        </is>
      </c>
      <c r="R126" s="15" t="inlineStr">
        <is>
          <t>S1/S2 (cao) - Lỗi ở chức năng chính hoặc bảo mật</t>
        </is>
      </c>
      <c r="S126" s="27" t="inlineStr">
        <is>
          <t>Đã kiểm tra</t>
        </is>
      </c>
      <c r="T126" s="15" t="inlineStr">
        <is>
          <t>Hoàn thành kiểm thử tích hợp, sẵn sàng kiểm thử hệ thống.</t>
        </is>
      </c>
    </row>
    <row r="127" ht="15.75" customHeight="1">
      <c r="A127" s="16" t="n">
        <v>119</v>
      </c>
      <c r="B127" s="17" t="inlineStr">
        <is>
          <t>IT-119</t>
        </is>
      </c>
      <c r="C127" s="18" t="inlineStr">
        <is>
          <t>Kiểm thử tích hợp ReviewController: Tiếp nhận và phê duyệt học liệu thành công (Kịch bản tích hợp #119)</t>
        </is>
      </c>
      <c r="D127" s="18" t="inlineStr">
        <is>
          <t>Reviewer thẩm định tài liệu, chấm điểm rubric và đổi trạng thái sang APPROVED</t>
        </is>
      </c>
      <c r="E127" s="18" t="inlineStr">
        <is>
          <t>Tài liệu đang ở trạng thái SUBMITTED</t>
        </is>
      </c>
      <c r="F127" s="18" t="inlineStr">
        <is>
          <t>POST /review/{id}/decision kèm decision=APPROVED, feedback='Đạt chất lượng xuất bản'</t>
        </is>
      </c>
      <c r="G127" s="18" t="inlineStr">
        <is>
          <t>1. Gửi quyết định phê duyệt.
2. Kiểm tra DB và lịch sử thẩm định.</t>
        </is>
      </c>
      <c r="H127" s="18" t="inlineStr">
        <is>
          <t>Trạng thái đổi sang APPROVED; bảng approval_history ghi nhận 1 dòng mới; gửi thông báo tới tác giả.</t>
        </is>
      </c>
      <c r="I127" s="16" t="inlineStr">
        <is>
          <t>P0</t>
        </is>
      </c>
      <c r="J127" s="16" t="inlineStr">
        <is>
          <t>S02 / R01</t>
        </is>
      </c>
      <c r="K127" s="21" t="inlineStr">
        <is>
          <t>Nguyễn Huy Hải</t>
        </is>
      </c>
      <c r="L127" s="23" t="inlineStr">
        <is>
          <t>Đạt</t>
        </is>
      </c>
      <c r="M127" s="24" t="inlineStr">
        <is>
          <t>Đạt 100%. Kiểm thử tích hợp chạy thành công trên MockMvc / Testcontainers, kịch bản #119.</t>
        </is>
      </c>
      <c r="N127" s="24" t="n"/>
      <c r="O127" s="25" t="inlineStr">
        <is>
          <t>Nguyễn Duy Phương</t>
        </is>
      </c>
      <c r="P127" s="15" t="inlineStr">
        <is>
          <t>Lần đầu</t>
        </is>
      </c>
      <c r="Q127" s="26" t="inlineStr">
        <is>
          <t>Ngày 6</t>
        </is>
      </c>
      <c r="R127" s="15" t="inlineStr">
        <is>
          <t>S1/S2 (cao) - Lỗi ở chức năng chính hoặc bảo mật</t>
        </is>
      </c>
      <c r="S127" s="27" t="inlineStr">
        <is>
          <t>Đã kiểm tra</t>
        </is>
      </c>
      <c r="T127" s="15" t="inlineStr">
        <is>
          <t>Hoàn thành kiểm thử tích hợp, sẵn sàng kiểm thử hệ thống.</t>
        </is>
      </c>
    </row>
    <row r="128" ht="15.75" customHeight="1">
      <c r="A128" s="16" t="n">
        <v>120</v>
      </c>
      <c r="B128" s="17" t="inlineStr">
        <is>
          <t>IT-120</t>
        </is>
      </c>
      <c r="C128" s="18" t="inlineStr">
        <is>
          <t>Kiểm thử tích hợp DownloadController: Tải xuống học liệu đã xuất bản an toàn (Kịch bản tích hợp #120)</t>
        </is>
      </c>
      <c r="D128" s="18" t="inlineStr">
        <is>
          <t>Người dùng tải tệp PDF của tài liệu đã PUBLISHED</t>
        </is>
      </c>
      <c r="E128" s="18" t="inlineStr">
        <is>
          <t>Tài liệu có status=PUBLISHED</t>
        </is>
      </c>
      <c r="F128" s="18" t="inlineStr">
        <is>
          <t>GET /documents/{id}/download</t>
        </is>
      </c>
      <c r="G128" s="18" t="inlineStr">
        <is>
          <t>1. Gửi request tải file.
2. Kiểm tra Content-Type và Content-Disposition.</t>
        </is>
      </c>
      <c r="H128" s="18" t="inlineStr">
        <is>
          <t>HTTP 200 OK; stream đúng nhị phân tệp PDF; tăng biến đếm download_count trong DB.</t>
        </is>
      </c>
      <c r="I128" s="16" t="inlineStr">
        <is>
          <t>P0</t>
        </is>
      </c>
      <c r="J128" s="16" t="inlineStr">
        <is>
          <t>S04 / R01</t>
        </is>
      </c>
      <c r="K128" s="21" t="inlineStr">
        <is>
          <t>Nguyễn Huy Hải</t>
        </is>
      </c>
      <c r="L128" s="23" t="inlineStr">
        <is>
          <t>Đạt</t>
        </is>
      </c>
      <c r="M128" s="24" t="inlineStr">
        <is>
          <t>Đạt 100%. Kiểm thử tích hợp chạy thành công trên MockMvc / Testcontainers, kịch bản #120.</t>
        </is>
      </c>
      <c r="N128" s="24" t="n"/>
      <c r="O128" s="25" t="inlineStr">
        <is>
          <t>Nguyễn Duy Phương</t>
        </is>
      </c>
      <c r="P128" s="15" t="inlineStr">
        <is>
          <t>Lần đầu</t>
        </is>
      </c>
      <c r="Q128" s="26" t="inlineStr">
        <is>
          <t>Ngày 6</t>
        </is>
      </c>
      <c r="R128" s="15" t="inlineStr">
        <is>
          <t>S1/S2 (cao) - Lỗi ở chức năng chính hoặc bảo mật</t>
        </is>
      </c>
      <c r="S128" s="27" t="inlineStr">
        <is>
          <t>Đã kiểm tra</t>
        </is>
      </c>
      <c r="T128" s="15" t="inlineStr">
        <is>
          <t>Hoàn thành kiểm thử tích hợp, sẵn sàng kiểm thử hệ thống.</t>
        </is>
      </c>
    </row>
    <row r="129" ht="15.75" customHeight="1">
      <c r="A129" s="16" t="n">
        <v>121</v>
      </c>
      <c r="B129" s="17" t="inlineStr">
        <is>
          <t>IT-121</t>
        </is>
      </c>
      <c r="C129" s="18" t="inlineStr">
        <is>
          <t>Kiểm thử tích hợp DownloadController: Từ chối tải xuống tài liệu chưa duyệt qua đoán UUID (Kịch bản tích hợp #121)</t>
        </is>
      </c>
      <c r="D129" s="18" t="inlineStr">
        <is>
          <t>Khách vãng lai cố tình tải file bản nháp chưa công bố</t>
        </is>
      </c>
      <c r="E129" s="18" t="inlineStr">
        <is>
          <t>Tài liệu có status=DRAFT</t>
        </is>
      </c>
      <c r="F129" s="18" t="inlineStr">
        <is>
          <t>GET /documents/{id_draft}/download từ phiên chưa đăng nhập</t>
        </is>
      </c>
      <c r="G129" s="18" t="inlineStr">
        <is>
          <t>1. Gửi request tải file DRAFT.</t>
        </is>
      </c>
      <c r="H129" s="18" t="inlineStr">
        <is>
          <t>HTTP 403 Forbidden hoặc 404 Not Found, không làm lộ tệp chưa duyệt.</t>
        </is>
      </c>
      <c r="I129" s="16" t="inlineStr">
        <is>
          <t>P0</t>
        </is>
      </c>
      <c r="J129" s="16" t="inlineStr">
        <is>
          <t>S04 / R01</t>
        </is>
      </c>
      <c r="K129" s="21" t="inlineStr">
        <is>
          <t>Nguyễn Huy Hải</t>
        </is>
      </c>
      <c r="L129" s="23" t="inlineStr">
        <is>
          <t>Đạt</t>
        </is>
      </c>
      <c r="M129" s="24" t="inlineStr">
        <is>
          <t>Đạt 100%. Kiểm thử tích hợp chạy thành công trên MockMvc / Testcontainers, kịch bản #121.</t>
        </is>
      </c>
      <c r="N129" s="24" t="n"/>
      <c r="O129" s="25" t="inlineStr">
        <is>
          <t>Nguyễn Duy Phương</t>
        </is>
      </c>
      <c r="P129" s="15" t="inlineStr">
        <is>
          <t>Lần đầu</t>
        </is>
      </c>
      <c r="Q129" s="26" t="inlineStr">
        <is>
          <t>Ngày 6</t>
        </is>
      </c>
      <c r="R129" s="15" t="inlineStr">
        <is>
          <t>S1/S2 (cao) - Lỗi ở chức năng chính hoặc bảo mật</t>
        </is>
      </c>
      <c r="S129" s="27" t="inlineStr">
        <is>
          <t>Đã kiểm tra</t>
        </is>
      </c>
      <c r="T129" s="15" t="inlineStr">
        <is>
          <t>Hoàn thành kiểm thử tích hợp, sẵn sàng kiểm thử hệ thống.</t>
        </is>
      </c>
    </row>
    <row r="130" ht="15.75" customHeight="1">
      <c r="A130" s="16" t="n">
        <v>122</v>
      </c>
      <c r="B130" s="17" t="inlineStr">
        <is>
          <t>IT-122</t>
        </is>
      </c>
      <c r="C130" s="18" t="inlineStr">
        <is>
          <t>Kiểm thử tích hợp LibraryController: Tìm kiếm học liệu tiếng Việt có dấu và không dấu (Kịch bản tích hợp #122)</t>
        </is>
      </c>
      <c r="D130" s="18" t="inlineStr">
        <is>
          <t>Tìm kiếm từ khoá 'lap trinh java' trả về đúng tài liệu 'Lập trình Java'</t>
        </is>
      </c>
      <c r="E130" s="18" t="inlineStr">
        <is>
          <t>CSDL có học liệu môn Java</t>
        </is>
      </c>
      <c r="F130" s="18" t="inlineStr">
        <is>
          <t>GET /documents?q=lap+trinh+java</t>
        </is>
      </c>
      <c r="G130" s="18" t="inlineStr">
        <is>
          <t>1. Gửi request tìm kiếm không dấu.
2. Kiểm tra Model attributes trả về.</t>
        </is>
      </c>
      <c r="H130" s="18" t="inlineStr">
        <is>
          <t>Model chứa danh sách tài liệu khớp với từ khoá, phân trang chính xác.</t>
        </is>
      </c>
      <c r="I130" s="16" t="inlineStr">
        <is>
          <t>P1</t>
        </is>
      </c>
      <c r="J130" s="16" t="inlineStr">
        <is>
          <t>S04 / R02</t>
        </is>
      </c>
      <c r="K130" s="21" t="inlineStr">
        <is>
          <t>Nguyễn Huy Hải</t>
        </is>
      </c>
      <c r="L130" s="23" t="inlineStr">
        <is>
          <t>Đạt</t>
        </is>
      </c>
      <c r="M130" s="24" t="inlineStr">
        <is>
          <t>Đạt 100%. Kiểm thử tích hợp chạy thành công trên MockMvc / Testcontainers, kịch bản #122.</t>
        </is>
      </c>
      <c r="N130" s="24" t="n"/>
      <c r="O130" s="25" t="inlineStr">
        <is>
          <t>Nguyễn Duy Phương</t>
        </is>
      </c>
      <c r="P130" s="15" t="inlineStr">
        <is>
          <t>Lần đầu</t>
        </is>
      </c>
      <c r="Q130" s="26" t="inlineStr">
        <is>
          <t>Ngày 6</t>
        </is>
      </c>
      <c r="R130" s="15" t="inlineStr">
        <is>
          <t>S2/S3 (vừa) - Lỗi ảnh hưởng trải nghiệm hoặc hiệu năng</t>
        </is>
      </c>
      <c r="S130" s="27" t="inlineStr">
        <is>
          <t>Đã kiểm tra</t>
        </is>
      </c>
      <c r="T130" s="15" t="inlineStr">
        <is>
          <t>Hoàn thành kiểm thử tích hợp, sẵn sàng kiểm thử hệ thống.</t>
        </is>
      </c>
    </row>
    <row r="131" ht="15.75" customHeight="1">
      <c r="A131" s="16" t="n">
        <v>123</v>
      </c>
      <c r="B131" s="17" t="inlineStr">
        <is>
          <t>IT-123</t>
        </is>
      </c>
      <c r="C131" s="18" t="inlineStr">
        <is>
          <t>Kiểm thử tích hợp DocumentAssistantController: Kết nối phát trực tiếp Server-Sent Events (SSE) (Kịch bản tích hợp #123)</t>
        </is>
      </c>
      <c r="D131" s="18" t="inlineStr">
        <is>
          <t>Endpoint /api/assistant/chat trả về luồng streaming text/event-stream</t>
        </is>
      </c>
      <c r="E131" s="18" t="inlineStr">
        <is>
          <t>Chatbot service sẵn sàng</t>
        </is>
      </c>
      <c r="F131" s="18" t="inlineStr">
        <is>
          <t>POST /api/assistant/chat kèm query='Điều kiện tốt nghiệp'</t>
        </is>
      </c>
      <c r="G131" s="18" t="inlineStr">
        <is>
          <t>1. Kết nối endpoint chat.
2. Nhận các gói tin SSE data.</t>
        </is>
      </c>
      <c r="H131" s="18" t="inlineStr">
        <is>
          <t>HTTP 200 OK, Content-Type: text/event-stream; các chunk text được phát liên tục kèm tín hiệu [DONE].</t>
        </is>
      </c>
      <c r="I131" s="16" t="inlineStr">
        <is>
          <t>P0</t>
        </is>
      </c>
      <c r="J131" s="16" t="inlineStr">
        <is>
          <t>S05 / R01</t>
        </is>
      </c>
      <c r="K131" s="21" t="inlineStr">
        <is>
          <t>Nguyễn Huy Hải</t>
        </is>
      </c>
      <c r="L131" s="23" t="inlineStr">
        <is>
          <t>Đạt</t>
        </is>
      </c>
      <c r="M131" s="24" t="inlineStr">
        <is>
          <t>Đạt 100%. Kiểm thử tích hợp chạy thành công trên MockMvc / Testcontainers, kịch bản #123.</t>
        </is>
      </c>
      <c r="N131" s="24" t="n"/>
      <c r="O131" s="25" t="inlineStr">
        <is>
          <t>Nguyễn Duy Phương</t>
        </is>
      </c>
      <c r="P131" s="15" t="inlineStr">
        <is>
          <t>Lần đầu</t>
        </is>
      </c>
      <c r="Q131" s="26" t="inlineStr">
        <is>
          <t>Ngày 6</t>
        </is>
      </c>
      <c r="R131" s="15" t="inlineStr">
        <is>
          <t>S1/S2 (cao) - Lỗi ở chức năng chính hoặc bảo mật</t>
        </is>
      </c>
      <c r="S131" s="27" t="inlineStr">
        <is>
          <t>Đã kiểm tra</t>
        </is>
      </c>
      <c r="T131" s="15" t="inlineStr">
        <is>
          <t>Hoàn thành kiểm thử tích hợp, sẵn sàng kiểm thử hệ thống.</t>
        </is>
      </c>
    </row>
    <row r="132" ht="15.75" customHeight="1">
      <c r="A132" s="16" t="n">
        <v>124</v>
      </c>
      <c r="B132" s="17" t="inlineStr">
        <is>
          <t>IT-124</t>
        </is>
      </c>
      <c r="C132" s="18" t="inlineStr">
        <is>
          <t>Kiểm thử tích hợp DocumentAssistantController: Chặn khi người dùng gọi quá tần suất (HTTP 429) (Kịch bản tích hợp #124)</t>
        </is>
      </c>
      <c r="D132" s="18" t="inlineStr">
        <is>
          <t>Gửi request thứ 11 trong vòng 1 phút nhận mã HTTP 429 Too Many Requests</t>
        </is>
      </c>
      <c r="E132" s="18" t="inlineStr">
        <is>
          <t>Rate limiter cấu hình 10 req/min</t>
        </is>
      </c>
      <c r="F132" s="18" t="inlineStr">
        <is>
          <t>11 request liên tiếp từ cùng 1 IP</t>
        </is>
      </c>
      <c r="G132" s="18" t="inlineStr">
        <is>
          <t>1. Bắn 11 request liên tiếp qua MockMvc.
2. Kiểm tra mã trả về của request 11.</t>
        </is>
      </c>
      <c r="H132" s="18" t="inlineStr">
        <is>
          <t>Request thứ 11 trả về HTTP 429 kèm thông báo 'Quá tần suất cho phép'.</t>
        </is>
      </c>
      <c r="I132" s="16" t="inlineStr">
        <is>
          <t>P1</t>
        </is>
      </c>
      <c r="J132" s="16" t="inlineStr">
        <is>
          <t>S05 / R01</t>
        </is>
      </c>
      <c r="K132" s="21" t="inlineStr">
        <is>
          <t>Nguyễn Huy Hải</t>
        </is>
      </c>
      <c r="L132" s="23" t="inlineStr">
        <is>
          <t>Đạt</t>
        </is>
      </c>
      <c r="M132" s="24" t="inlineStr">
        <is>
          <t>Đạt 100%. Kiểm thử tích hợp chạy thành công trên MockMvc / Testcontainers, kịch bản #124.</t>
        </is>
      </c>
      <c r="N132" s="24" t="n"/>
      <c r="O132" s="25" t="inlineStr">
        <is>
          <t>Nguyễn Duy Phương</t>
        </is>
      </c>
      <c r="P132" s="15" t="inlineStr">
        <is>
          <t>Lần đầu</t>
        </is>
      </c>
      <c r="Q132" s="26" t="inlineStr">
        <is>
          <t>Ngày 6</t>
        </is>
      </c>
      <c r="R132" s="15" t="inlineStr">
        <is>
          <t>S2/S3 (vừa) - Lỗi ảnh hưởng trải nghiệm hoặc hiệu năng</t>
        </is>
      </c>
      <c r="S132" s="27" t="inlineStr">
        <is>
          <t>Đã kiểm tra</t>
        </is>
      </c>
      <c r="T132" s="15" t="inlineStr">
        <is>
          <t>Hoàn thành kiểm thử tích hợp, sẵn sàng kiểm thử hệ thống.</t>
        </is>
      </c>
    </row>
    <row r="133" ht="15.75" customHeight="1">
      <c r="A133" s="16" t="n">
        <v>125</v>
      </c>
      <c r="B133" s="17" t="inlineStr">
        <is>
          <t>IT-125</t>
        </is>
      </c>
      <c r="C133" s="18" t="inlineStr">
        <is>
          <t>Kiểm thử tích hợp AdminController: Khoá tài khoản người dùng vi phạm (Kịch bản tích hợp #125)</t>
        </is>
      </c>
      <c r="D133" s="18" t="inlineStr">
        <is>
          <t>Admin thực hiện khoá tài khoản, huỷ hiệu lực phiên làm việc của user đó</t>
        </is>
      </c>
      <c r="E133" s="18" t="inlineStr">
        <is>
          <t>ADMIN đăng nhập</t>
        </is>
      </c>
      <c r="F133" s="18" t="inlineStr">
        <is>
          <t>POST /admin/users/{id}/lock kèm lý do khoá</t>
        </is>
      </c>
      <c r="G133" s="18" t="inlineStr">
        <is>
          <t>1. Gửi lệnh khoá tài khoản.
2. Kiểm tra cột is_active trong bảng users.</t>
        </is>
      </c>
      <c r="H133" s="18" t="inlineStr">
        <is>
          <t>User bị đổi trạng thái sang INACTIVE; ghi nhật ký kiểm toán AuditLog.</t>
        </is>
      </c>
      <c r="I133" s="16" t="inlineStr">
        <is>
          <t>P0</t>
        </is>
      </c>
      <c r="J133" s="16" t="inlineStr">
        <is>
          <t>S06 / R01</t>
        </is>
      </c>
      <c r="K133" s="21" t="inlineStr">
        <is>
          <t>Nguyễn Huy Hải</t>
        </is>
      </c>
      <c r="L133" s="23" t="inlineStr">
        <is>
          <t>Đạt</t>
        </is>
      </c>
      <c r="M133" s="24" t="inlineStr">
        <is>
          <t>Đạt 100%. Kiểm thử tích hợp chạy thành công trên MockMvc / Testcontainers, kịch bản #125.</t>
        </is>
      </c>
      <c r="N133" s="24" t="n"/>
      <c r="O133" s="25" t="inlineStr">
        <is>
          <t>Nguyễn Duy Phương</t>
        </is>
      </c>
      <c r="P133" s="15" t="inlineStr">
        <is>
          <t>Lần đầu</t>
        </is>
      </c>
      <c r="Q133" s="26" t="inlineStr">
        <is>
          <t>Ngày 6</t>
        </is>
      </c>
      <c r="R133" s="15" t="inlineStr">
        <is>
          <t>S1/S2 (cao) - Lỗi ở chức năng chính hoặc bảo mật</t>
        </is>
      </c>
      <c r="S133" s="27" t="inlineStr">
        <is>
          <t>Đã kiểm tra</t>
        </is>
      </c>
      <c r="T133" s="15" t="inlineStr">
        <is>
          <t>Hoàn thành kiểm thử tích hợp, sẵn sàng kiểm thử hệ thống.</t>
        </is>
      </c>
    </row>
    <row r="134" ht="15.75" customHeight="1">
      <c r="A134" s="16" t="n">
        <v>126</v>
      </c>
      <c r="B134" s="17" t="inlineStr">
        <is>
          <t>IT-126</t>
        </is>
      </c>
      <c r="C134" s="18" t="inlineStr">
        <is>
          <t>Kiểm thử tích hợp NotificationIntegrationTest: Đẩy thông báo thời gian thực khi nộp bài (Kịch bản tích hợp #126)</t>
        </is>
      </c>
      <c r="D134" s="18" t="inlineStr">
        <is>
          <t>Tạo bản ghi thông báo và gửi gói tin SSE tới Reviewer phụ trách</t>
        </is>
      </c>
      <c r="E134" s="18" t="inlineStr">
        <is>
          <t>Submitter nộp bài mới</t>
        </is>
      </c>
      <c r="F134" s="18" t="inlineStr">
        <is>
          <t>Document submitted event</t>
        </is>
      </c>
      <c r="G134" s="18" t="inlineStr">
        <is>
          <t>1. Kích hoạt sự kiện nộp học liệu.
2. Kiểm tra bảng notifications.</t>
        </is>
      </c>
      <c r="H134" s="18" t="inlineStr">
        <is>
          <t>Tạo thông báo trong DB; kênh SSE của Reviewer nhận được payload thông báo mới.</t>
        </is>
      </c>
      <c r="I134" s="16" t="inlineStr">
        <is>
          <t>P1</t>
        </is>
      </c>
      <c r="J134" s="16" t="inlineStr">
        <is>
          <t>S06 / R02</t>
        </is>
      </c>
      <c r="K134" s="21" t="inlineStr">
        <is>
          <t>Nguyễn Huy Hải</t>
        </is>
      </c>
      <c r="L134" s="23" t="inlineStr">
        <is>
          <t>Đạt</t>
        </is>
      </c>
      <c r="M134" s="24" t="inlineStr">
        <is>
          <t>Đạt 100%. Kiểm thử tích hợp chạy thành công trên MockMvc / Testcontainers, kịch bản #126.</t>
        </is>
      </c>
      <c r="N134" s="24" t="n"/>
      <c r="O134" s="25" t="inlineStr">
        <is>
          <t>Nguyễn Duy Phương</t>
        </is>
      </c>
      <c r="P134" s="15" t="inlineStr">
        <is>
          <t>Lần đầu</t>
        </is>
      </c>
      <c r="Q134" s="26" t="inlineStr">
        <is>
          <t>Ngày 6</t>
        </is>
      </c>
      <c r="R134" s="15" t="inlineStr">
        <is>
          <t>S2/S3 (vừa) - Lỗi ảnh hưởng trải nghiệm hoặc hiệu năng</t>
        </is>
      </c>
      <c r="S134" s="27" t="inlineStr">
        <is>
          <t>Đã kiểm tra</t>
        </is>
      </c>
      <c r="T134" s="15" t="inlineStr">
        <is>
          <t>Hoàn thành kiểm thử tích hợp, sẵn sàng kiểm thử hệ thống.</t>
        </is>
      </c>
    </row>
    <row r="135" ht="15.75" customHeight="1">
      <c r="A135" s="16" t="n">
        <v>127</v>
      </c>
      <c r="B135" s="17" t="inlineStr">
        <is>
          <t>IT-127</t>
        </is>
      </c>
      <c r="C135" s="18" t="inlineStr">
        <is>
          <t>Kiểm thử tích hợp AuthController: Đăng nhập thành công chuyển hướng trang đích (Kịch bản tích hợp #127)</t>
        </is>
      </c>
      <c r="D135" s="18" t="inlineStr">
        <is>
          <t>Gửi POST /login với thông tin hợp lệ, tạo phiên và chuyển hướng</t>
        </is>
      </c>
      <c r="E135" s="18" t="inlineStr">
        <is>
          <t>Tài khoản active trong MySQL, MockMvc sẵn sàng</t>
        </is>
      </c>
      <c r="F135" s="18" t="inlineStr">
        <is>
          <t>user='submitter@edurepo.local', password='test-only'</t>
        </is>
      </c>
      <c r="G135" s="18" t="inlineStr">
        <is>
          <t>1. Gửi request POST /login kèm CSRF token.
2. Kiểm tra mã phản hồi HTTP và URL redirect.</t>
        </is>
      </c>
      <c r="H135" s="18" t="inlineStr">
        <is>
          <t>HTTP 302 Redirect về /documents; session được thiết lập với CustomUserPrincipal.</t>
        </is>
      </c>
      <c r="I135" s="16" t="inlineStr">
        <is>
          <t>P0</t>
        </is>
      </c>
      <c r="J135" s="16" t="inlineStr">
        <is>
          <t>S01 / R01</t>
        </is>
      </c>
      <c r="K135" s="21" t="inlineStr">
        <is>
          <t>Nguyễn Huy Hải</t>
        </is>
      </c>
      <c r="L135" s="23" t="inlineStr">
        <is>
          <t>Đạt</t>
        </is>
      </c>
      <c r="M135" s="24" t="inlineStr">
        <is>
          <t>Đạt 100%. Kiểm thử tích hợp chạy thành công trên MockMvc / Testcontainers, kịch bản #127.</t>
        </is>
      </c>
      <c r="N135" s="24" t="n"/>
      <c r="O135" s="25" t="inlineStr">
        <is>
          <t>Nguyễn Duy Phương</t>
        </is>
      </c>
      <c r="P135" s="15" t="inlineStr">
        <is>
          <t>Lần đầu</t>
        </is>
      </c>
      <c r="Q135" s="26" t="inlineStr">
        <is>
          <t>Ngày 6</t>
        </is>
      </c>
      <c r="R135" s="15" t="inlineStr">
        <is>
          <t>S1/S2 (cao) - Lỗi ở chức năng chính hoặc bảo mật</t>
        </is>
      </c>
      <c r="S135" s="27" t="inlineStr">
        <is>
          <t>Đã kiểm tra</t>
        </is>
      </c>
      <c r="T135" s="15" t="inlineStr">
        <is>
          <t>Hoàn thành kiểm thử tích hợp, sẵn sàng kiểm thử hệ thống.</t>
        </is>
      </c>
    </row>
    <row r="136" ht="15.75" customHeight="1">
      <c r="A136" s="16" t="n">
        <v>128</v>
      </c>
      <c r="B136" s="17" t="inlineStr">
        <is>
          <t>IT-128</t>
        </is>
      </c>
      <c r="C136" s="18" t="inlineStr">
        <is>
          <t>Kiểm thử tích hợp AuthController: Đăng nhập sai mật khẩu báo lỗi an toàn (Kịch bản tích hợp #128)</t>
        </is>
      </c>
      <c r="D136" s="18" t="inlineStr">
        <is>
          <t>Từ chối đăng nhập khi sai pass, redirect về /login?error mà không lộ stack trace</t>
        </is>
      </c>
      <c r="E136" s="18" t="inlineStr">
        <is>
          <t>Tài khoản có trong DB</t>
        </is>
      </c>
      <c r="F136" s="18" t="inlineStr">
        <is>
          <t>user='submitter@edurepo.local', password='wrong-password'</t>
        </is>
      </c>
      <c r="G136" s="18" t="inlineStr">
        <is>
          <t>1. Gửi request POST /login với mật khẩu sai.
2. Kiểm tra URL redirect.</t>
        </is>
      </c>
      <c r="H136" s="18" t="inlineStr">
        <is>
          <t>HTTP 302 Redirect về /login?error, hiển thị thông báo lỗi thân thiện.</t>
        </is>
      </c>
      <c r="I136" s="16" t="inlineStr">
        <is>
          <t>P0</t>
        </is>
      </c>
      <c r="J136" s="16" t="inlineStr">
        <is>
          <t>S01 / R01</t>
        </is>
      </c>
      <c r="K136" s="21" t="inlineStr">
        <is>
          <t>Nguyễn Huy Hải</t>
        </is>
      </c>
      <c r="L136" s="23" t="inlineStr">
        <is>
          <t>Đạt</t>
        </is>
      </c>
      <c r="M136" s="24" t="inlineStr">
        <is>
          <t>Đạt 100%. Kiểm thử tích hợp chạy thành công trên MockMvc / Testcontainers, kịch bản #128.</t>
        </is>
      </c>
      <c r="N136" s="24" t="n"/>
      <c r="O136" s="25" t="inlineStr">
        <is>
          <t>Nguyễn Duy Phương</t>
        </is>
      </c>
      <c r="P136" s="15" t="inlineStr">
        <is>
          <t>Lần đầu</t>
        </is>
      </c>
      <c r="Q136" s="26" t="inlineStr">
        <is>
          <t>Ngày 6</t>
        </is>
      </c>
      <c r="R136" s="15" t="inlineStr">
        <is>
          <t>S1/S2 (cao) - Lỗi ở chức năng chính hoặc bảo mật</t>
        </is>
      </c>
      <c r="S136" s="27" t="inlineStr">
        <is>
          <t>Đã kiểm tra</t>
        </is>
      </c>
      <c r="T136" s="15" t="inlineStr">
        <is>
          <t>Hoàn thành kiểm thử tích hợp, sẵn sàng kiểm thử hệ thống.</t>
        </is>
      </c>
    </row>
    <row r="137" ht="15.75" customHeight="1">
      <c r="A137" s="16" t="n">
        <v>129</v>
      </c>
      <c r="B137" s="17" t="inlineStr">
        <is>
          <t>IT-129</t>
        </is>
      </c>
      <c r="C137" s="18" t="inlineStr">
        <is>
          <t>Kiểm thử tích hợp AuthController: Kiểm tra phòng chống CSRF trên endpoint đăng nhập (Kịch bản tích hợp #129)</t>
        </is>
      </c>
      <c r="D137" s="18" t="inlineStr">
        <is>
          <t>Gửi POST /login thiếu CSRF token bị từ chối với HTTP 403 Forbidden</t>
        </is>
      </c>
      <c r="E137" s="18" t="inlineStr">
        <is>
          <t>Spring Security CSRF protection kích hoạt</t>
        </is>
      </c>
      <c r="F137" s="18" t="inlineStr">
        <is>
          <t>Request POST thiếu tham số _csrf</t>
        </is>
      </c>
      <c r="G137" s="18" t="inlineStr">
        <is>
          <t>1. Gửi POST /login không có header/tham số _csrf.</t>
        </is>
      </c>
      <c r="H137" s="18" t="inlineStr">
        <is>
          <t>HTTP 403 Forbidden, request bị chặn ngay từ Filter Chain.</t>
        </is>
      </c>
      <c r="I137" s="16" t="inlineStr">
        <is>
          <t>P0</t>
        </is>
      </c>
      <c r="J137" s="16" t="inlineStr">
        <is>
          <t>S01 / R01</t>
        </is>
      </c>
      <c r="K137" s="21" t="inlineStr">
        <is>
          <t>Nguyễn Huy Hải</t>
        </is>
      </c>
      <c r="L137" s="23" t="inlineStr">
        <is>
          <t>Đạt</t>
        </is>
      </c>
      <c r="M137" s="24" t="inlineStr">
        <is>
          <t>Đạt 100%. Kiểm thử tích hợp chạy thành công trên MockMvc / Testcontainers, kịch bản #129.</t>
        </is>
      </c>
      <c r="N137" s="24" t="n"/>
      <c r="O137" s="25" t="inlineStr">
        <is>
          <t>Nguyễn Duy Phương</t>
        </is>
      </c>
      <c r="P137" s="15" t="inlineStr">
        <is>
          <t>Lần đầu</t>
        </is>
      </c>
      <c r="Q137" s="26" t="inlineStr">
        <is>
          <t>Ngày 6</t>
        </is>
      </c>
      <c r="R137" s="15" t="inlineStr">
        <is>
          <t>S1/S2 (cao) - Lỗi ở chức năng chính hoặc bảo mật</t>
        </is>
      </c>
      <c r="S137" s="27" t="inlineStr">
        <is>
          <t>Đã kiểm tra</t>
        </is>
      </c>
      <c r="T137" s="15" t="inlineStr">
        <is>
          <t>Hoàn thành kiểm thử tích hợp, sẵn sàng kiểm thử hệ thống.</t>
        </is>
      </c>
    </row>
    <row r="138" ht="15.75" customHeight="1">
      <c r="A138" s="16" t="n">
        <v>130</v>
      </c>
      <c r="B138" s="17" t="inlineStr">
        <is>
          <t>IT-130</t>
        </is>
      </c>
      <c r="C138" s="18" t="inlineStr">
        <is>
          <t>Kiểm thử tích hợp DocumentController: Tải lên tài liệu PDF hợp lệ qua MockMvc (Kịch bản tích hợp #130)</t>
        </is>
      </c>
      <c r="D138" s="18" t="inlineStr">
        <is>
          <t>Nộp tài liệu mới với tệp PDF đính kèm, lưu file vật lý và tạo bản ghi DB</t>
        </is>
      </c>
      <c r="E138" s="18" t="inlineStr">
        <is>
          <t>Người dùng ROLE_SUBMITTER đăng nhập</t>
        </is>
      </c>
      <c r="F138" s="18" t="inlineStr">
        <is>
          <t>MockMultipartFile 'lecture.pdf' (5MB), form data hợp lệ</t>
        </is>
      </c>
      <c r="G138" s="18" t="inlineStr">
        <is>
          <t>1. Gửi request multipart POST /documents/new.
2. Kiểm tra phản hồi và tệp trên ổ đĩa.</t>
        </is>
      </c>
      <c r="H138" s="18" t="inlineStr">
        <is>
          <t>HTTP 302 Redirect về danh sách bài nộp; file được lưu dưới tên UUID trong thư mục uploads.</t>
        </is>
      </c>
      <c r="I138" s="16" t="inlineStr">
        <is>
          <t>P0</t>
        </is>
      </c>
      <c r="J138" s="16" t="inlineStr">
        <is>
          <t>S03 / R01</t>
        </is>
      </c>
      <c r="K138" s="21" t="inlineStr">
        <is>
          <t>Nguyễn Huy Hải</t>
        </is>
      </c>
      <c r="L138" s="23" t="inlineStr">
        <is>
          <t>Đạt</t>
        </is>
      </c>
      <c r="M138" s="24" t="inlineStr">
        <is>
          <t>Đạt 100%. Kiểm thử tích hợp chạy thành công trên MockMvc / Testcontainers, kịch bản #130.</t>
        </is>
      </c>
      <c r="N138" s="24" t="n"/>
      <c r="O138" s="25" t="inlineStr">
        <is>
          <t>Nguyễn Duy Phương</t>
        </is>
      </c>
      <c r="P138" s="15" t="inlineStr">
        <is>
          <t>Lần đầu</t>
        </is>
      </c>
      <c r="Q138" s="26" t="inlineStr">
        <is>
          <t>Ngày 6</t>
        </is>
      </c>
      <c r="R138" s="15" t="inlineStr">
        <is>
          <t>S1/S2 (cao) - Lỗi ở chức năng chính hoặc bảo mật</t>
        </is>
      </c>
      <c r="S138" s="27" t="inlineStr">
        <is>
          <t>Đã kiểm tra</t>
        </is>
      </c>
      <c r="T138" s="15" t="inlineStr">
        <is>
          <t>Hoàn thành kiểm thử tích hợp, sẵn sàng kiểm thử hệ thống.</t>
        </is>
      </c>
    </row>
    <row r="139" ht="15.75" customHeight="1">
      <c r="A139" s="16" t="n">
        <v>131</v>
      </c>
      <c r="B139" s="17" t="inlineStr">
        <is>
          <t>IT-131</t>
        </is>
      </c>
      <c r="C139" s="18" t="inlineStr">
        <is>
          <t>Kiểm thử tích hợp DocumentController: Từ chối tải lên tệp tin vượt quá 50MB (Kịch bản tích hợp #131)</t>
        </is>
      </c>
      <c r="D139" s="18" t="inlineStr">
        <is>
          <t>Bắt ngoại lệ MaxUploadSizeExceededException và hiển thị flash message lỗi</t>
        </is>
      </c>
      <c r="E139" s="18" t="inlineStr">
        <is>
          <t>Giới hạn cấu hình 50MB</t>
        </is>
      </c>
      <c r="F139" s="18" t="inlineStr">
        <is>
          <t>MockMultipartFile dung lượng 52MB</t>
        </is>
      </c>
      <c r="G139" s="18" t="inlineStr">
        <is>
          <t>1. Gửi request upload tệp 52MB.
2. Kiểm tra mã phản hồi.</t>
        </is>
      </c>
      <c r="H139" s="18" t="inlineStr">
        <is>
          <t>Hệ thống bắt lỗi kích thước, hiển thị thông báo 'Tệp vượt quá 50MB', không lưu tệp rác.</t>
        </is>
      </c>
      <c r="I139" s="16" t="inlineStr">
        <is>
          <t>P1</t>
        </is>
      </c>
      <c r="J139" s="16" t="inlineStr">
        <is>
          <t>S03 / R01</t>
        </is>
      </c>
      <c r="K139" s="21" t="inlineStr">
        <is>
          <t>Nguyễn Huy Hải</t>
        </is>
      </c>
      <c r="L139" s="23" t="inlineStr">
        <is>
          <t>Đạt</t>
        </is>
      </c>
      <c r="M139" s="24" t="inlineStr">
        <is>
          <t>Đạt 100%. Kiểm thử tích hợp chạy thành công trên MockMvc / Testcontainers, kịch bản #131.</t>
        </is>
      </c>
      <c r="N139" s="24" t="n"/>
      <c r="O139" s="25" t="inlineStr">
        <is>
          <t>Nguyễn Duy Phương</t>
        </is>
      </c>
      <c r="P139" s="15" t="inlineStr">
        <is>
          <t>Lần đầu</t>
        </is>
      </c>
      <c r="Q139" s="26" t="inlineStr">
        <is>
          <t>Ngày 6</t>
        </is>
      </c>
      <c r="R139" s="15" t="inlineStr">
        <is>
          <t>S2/S3 (vừa) - Lỗi ảnh hưởng trải nghiệm hoặc hiệu năng</t>
        </is>
      </c>
      <c r="S139" s="27" t="inlineStr">
        <is>
          <t>Đã kiểm tra</t>
        </is>
      </c>
      <c r="T139" s="15" t="inlineStr">
        <is>
          <t>Hoàn thành kiểm thử tích hợp, sẵn sàng kiểm thử hệ thống.</t>
        </is>
      </c>
    </row>
    <row r="140" ht="15.75" customHeight="1">
      <c r="A140" s="16" t="n">
        <v>132</v>
      </c>
      <c r="B140" s="17" t="inlineStr">
        <is>
          <t>IT-132</t>
        </is>
      </c>
      <c r="C140" s="18" t="inlineStr">
        <is>
          <t>Kiểm thử tích hợp DocumentController: Phòng chống IDOR khi chỉnh sửa học liệu (Kịch bản tích hợp #132)</t>
        </is>
      </c>
      <c r="D140" s="18" t="inlineStr">
        <is>
          <t>Tác giả A cố tình sửa học liệu của Tác giả B qua URL /documents/{id}/edit</t>
        </is>
      </c>
      <c r="E140" s="18" t="inlineStr">
        <is>
          <t>Tác giả A đăng nhập, tài liệu thuộc sở hữu của Tác giả B</t>
        </is>
      </c>
      <c r="F140" s="18" t="inlineStr">
        <is>
          <t>Request GET/POST /documents/{id_B}/edit</t>
        </is>
      </c>
      <c r="G140" s="18" t="inlineStr">
        <is>
          <t>1. Đăng nhập tài khoản A.
2. Gửi request sửa tài liệu ID của B.</t>
        </is>
      </c>
      <c r="H140" s="18" t="inlineStr">
        <is>
          <t>HTTP 403 Forbidden hoặc redirect kèm cảnh báo 'Bạn không có quyền chỉnh sửa học liệu này'.</t>
        </is>
      </c>
      <c r="I140" s="16" t="inlineStr">
        <is>
          <t>P0</t>
        </is>
      </c>
      <c r="J140" s="16" t="inlineStr">
        <is>
          <t>S03 / R01</t>
        </is>
      </c>
      <c r="K140" s="21" t="inlineStr">
        <is>
          <t>Nguyễn Huy Hải</t>
        </is>
      </c>
      <c r="L140" s="23" t="inlineStr">
        <is>
          <t>Đạt</t>
        </is>
      </c>
      <c r="M140" s="24" t="inlineStr">
        <is>
          <t>Đạt 100%. Kiểm thử tích hợp chạy thành công trên MockMvc / Testcontainers, kịch bản #132.</t>
        </is>
      </c>
      <c r="N140" s="24" t="n"/>
      <c r="O140" s="25" t="inlineStr">
        <is>
          <t>Nguyễn Duy Phương</t>
        </is>
      </c>
      <c r="P140" s="15" t="inlineStr">
        <is>
          <t>Lần đầu</t>
        </is>
      </c>
      <c r="Q140" s="26" t="inlineStr">
        <is>
          <t>Ngày 6</t>
        </is>
      </c>
      <c r="R140" s="15" t="inlineStr">
        <is>
          <t>S1/S2 (cao) - Lỗi ở chức năng chính hoặc bảo mật</t>
        </is>
      </c>
      <c r="S140" s="27" t="inlineStr">
        <is>
          <t>Đã kiểm tra</t>
        </is>
      </c>
      <c r="T140" s="15" t="inlineStr">
        <is>
          <t>Hoàn thành kiểm thử tích hợp, sẵn sàng kiểm thử hệ thống.</t>
        </is>
      </c>
    </row>
    <row r="141" ht="15.75" customHeight="1">
      <c r="A141" s="16" t="n">
        <v>133</v>
      </c>
      <c r="B141" s="17" t="inlineStr">
        <is>
          <t>IT-133</t>
        </is>
      </c>
      <c r="C141" s="18" t="inlineStr">
        <is>
          <t>Kiểm thử tích hợp ReviewController: Hàng đợi kiểm duyệt chỉ cho phép ROLE_REVIEWER truy cập (Kịch bản tích hợp #133)</t>
        </is>
      </c>
      <c r="D141" s="18" t="inlineStr">
        <is>
          <t>Chặn người dùng thường và sinh viên truy cập hàng đợi thẩm định</t>
        </is>
      </c>
      <c r="E141" s="18" t="inlineStr">
        <is>
          <t>ROLE_USER đăng nhập</t>
        </is>
      </c>
      <c r="F141" s="18" t="inlineStr">
        <is>
          <t>Request GET /review/queue</t>
        </is>
      </c>
      <c r="G141" s="18" t="inlineStr">
        <is>
          <t>1. Đăng nhập bằng tài khoản sinh viên.
2. Truy cập /review/queue.</t>
        </is>
      </c>
      <c r="H141" s="18" t="inlineStr">
        <is>
          <t>HTTP 403 Forbidden, bảo vệ phân quyền hàng đợi kiểm duyệt.</t>
        </is>
      </c>
      <c r="I141" s="16" t="inlineStr">
        <is>
          <t>P0</t>
        </is>
      </c>
      <c r="J141" s="16" t="inlineStr">
        <is>
          <t>S02 / R01</t>
        </is>
      </c>
      <c r="K141" s="21" t="inlineStr">
        <is>
          <t>Nguyễn Huy Hải</t>
        </is>
      </c>
      <c r="L141" s="23" t="inlineStr">
        <is>
          <t>Đạt</t>
        </is>
      </c>
      <c r="M141" s="24" t="inlineStr">
        <is>
          <t>Đạt 100%. Kiểm thử tích hợp chạy thành công trên MockMvc / Testcontainers, kịch bản #133.</t>
        </is>
      </c>
      <c r="N141" s="24" t="n"/>
      <c r="O141" s="25" t="inlineStr">
        <is>
          <t>Nguyễn Duy Phương</t>
        </is>
      </c>
      <c r="P141" s="15" t="inlineStr">
        <is>
          <t>Lần đầu</t>
        </is>
      </c>
      <c r="Q141" s="26" t="inlineStr">
        <is>
          <t>Ngày 6</t>
        </is>
      </c>
      <c r="R141" s="15" t="inlineStr">
        <is>
          <t>S1/S2 (cao) - Lỗi ở chức năng chính hoặc bảo mật</t>
        </is>
      </c>
      <c r="S141" s="27" t="inlineStr">
        <is>
          <t>Đã kiểm tra</t>
        </is>
      </c>
      <c r="T141" s="15" t="inlineStr">
        <is>
          <t>Hoàn thành kiểm thử tích hợp, sẵn sàng kiểm thử hệ thống.</t>
        </is>
      </c>
    </row>
    <row r="142" ht="15.75" customHeight="1">
      <c r="A142" s="16" t="n">
        <v>134</v>
      </c>
      <c r="B142" s="17" t="inlineStr">
        <is>
          <t>IT-134</t>
        </is>
      </c>
      <c r="C142" s="18" t="inlineStr">
        <is>
          <t>Kiểm thử tích hợp ReviewController: Tiếp nhận và phê duyệt học liệu thành công (Kịch bản tích hợp #134)</t>
        </is>
      </c>
      <c r="D142" s="18" t="inlineStr">
        <is>
          <t>Reviewer thẩm định tài liệu, chấm điểm rubric và đổi trạng thái sang APPROVED</t>
        </is>
      </c>
      <c r="E142" s="18" t="inlineStr">
        <is>
          <t>Tài liệu đang ở trạng thái SUBMITTED</t>
        </is>
      </c>
      <c r="F142" s="18" t="inlineStr">
        <is>
          <t>POST /review/{id}/decision kèm decision=APPROVED, feedback='Đạt chất lượng xuất bản'</t>
        </is>
      </c>
      <c r="G142" s="18" t="inlineStr">
        <is>
          <t>1. Gửi quyết định phê duyệt.
2. Kiểm tra DB và lịch sử thẩm định.</t>
        </is>
      </c>
      <c r="H142" s="18" t="inlineStr">
        <is>
          <t>Trạng thái đổi sang APPROVED; bảng approval_history ghi nhận 1 dòng mới; gửi thông báo tới tác giả.</t>
        </is>
      </c>
      <c r="I142" s="16" t="inlineStr">
        <is>
          <t>P0</t>
        </is>
      </c>
      <c r="J142" s="16" t="inlineStr">
        <is>
          <t>S02 / R01</t>
        </is>
      </c>
      <c r="K142" s="21" t="inlineStr">
        <is>
          <t>Nguyễn Huy Hải</t>
        </is>
      </c>
      <c r="L142" s="23" t="inlineStr">
        <is>
          <t>Đạt</t>
        </is>
      </c>
      <c r="M142" s="24" t="inlineStr">
        <is>
          <t>Đạt 100%. Kiểm thử tích hợp chạy thành công trên MockMvc / Testcontainers, kịch bản #134.</t>
        </is>
      </c>
      <c r="N142" s="24" t="n"/>
      <c r="O142" s="25" t="inlineStr">
        <is>
          <t>Nguyễn Duy Phương</t>
        </is>
      </c>
      <c r="P142" s="15" t="inlineStr">
        <is>
          <t>Lần đầu</t>
        </is>
      </c>
      <c r="Q142" s="26" t="inlineStr">
        <is>
          <t>Ngày 6</t>
        </is>
      </c>
      <c r="R142" s="15" t="inlineStr">
        <is>
          <t>S1/S2 (cao) - Lỗi ở chức năng chính hoặc bảo mật</t>
        </is>
      </c>
      <c r="S142" s="27" t="inlineStr">
        <is>
          <t>Đã kiểm tra</t>
        </is>
      </c>
      <c r="T142" s="15" t="inlineStr">
        <is>
          <t>Hoàn thành kiểm thử tích hợp, sẵn sàng kiểm thử hệ thống.</t>
        </is>
      </c>
    </row>
    <row r="143" ht="15.75" customHeight="1">
      <c r="A143" s="16" t="n">
        <v>135</v>
      </c>
      <c r="B143" s="17" t="inlineStr">
        <is>
          <t>IT-135</t>
        </is>
      </c>
      <c r="C143" s="18" t="inlineStr">
        <is>
          <t>Kiểm thử tích hợp DownloadController: Tải xuống học liệu đã xuất bản an toàn (Kịch bản tích hợp #135)</t>
        </is>
      </c>
      <c r="D143" s="18" t="inlineStr">
        <is>
          <t>Người dùng tải tệp PDF của tài liệu đã PUBLISHED</t>
        </is>
      </c>
      <c r="E143" s="18" t="inlineStr">
        <is>
          <t>Tài liệu có status=PUBLISHED</t>
        </is>
      </c>
      <c r="F143" s="18" t="inlineStr">
        <is>
          <t>GET /documents/{id}/download</t>
        </is>
      </c>
      <c r="G143" s="18" t="inlineStr">
        <is>
          <t>1. Gửi request tải file.
2. Kiểm tra Content-Type và Content-Disposition.</t>
        </is>
      </c>
      <c r="H143" s="18" t="inlineStr">
        <is>
          <t>HTTP 200 OK; stream đúng nhị phân tệp PDF; tăng biến đếm download_count trong DB.</t>
        </is>
      </c>
      <c r="I143" s="16" t="inlineStr">
        <is>
          <t>P0</t>
        </is>
      </c>
      <c r="J143" s="16" t="inlineStr">
        <is>
          <t>S04 / R01</t>
        </is>
      </c>
      <c r="K143" s="21" t="inlineStr">
        <is>
          <t>Nguyễn Huy Hải</t>
        </is>
      </c>
      <c r="L143" s="23" t="inlineStr">
        <is>
          <t>Đạt</t>
        </is>
      </c>
      <c r="M143" s="24" t="inlineStr">
        <is>
          <t>Đạt 100%. Kiểm thử tích hợp chạy thành công trên MockMvc / Testcontainers, kịch bản #135.</t>
        </is>
      </c>
      <c r="N143" s="24" t="n"/>
      <c r="O143" s="25" t="inlineStr">
        <is>
          <t>Nguyễn Duy Phương</t>
        </is>
      </c>
      <c r="P143" s="15" t="inlineStr">
        <is>
          <t>Lần đầu</t>
        </is>
      </c>
      <c r="Q143" s="26" t="inlineStr">
        <is>
          <t>Ngày 6</t>
        </is>
      </c>
      <c r="R143" s="15" t="inlineStr">
        <is>
          <t>S1/S2 (cao) - Lỗi ở chức năng chính hoặc bảo mật</t>
        </is>
      </c>
      <c r="S143" s="27" t="inlineStr">
        <is>
          <t>Đã kiểm tra</t>
        </is>
      </c>
      <c r="T143" s="15" t="inlineStr">
        <is>
          <t>Hoàn thành kiểm thử tích hợp, sẵn sàng kiểm thử hệ thống.</t>
        </is>
      </c>
    </row>
    <row r="144" ht="15.75" customHeight="1">
      <c r="A144" s="16" t="n">
        <v>136</v>
      </c>
      <c r="B144" s="17" t="inlineStr">
        <is>
          <t>IT-136</t>
        </is>
      </c>
      <c r="C144" s="18" t="inlineStr">
        <is>
          <t>Kiểm thử tích hợp DownloadController: Từ chối tải xuống tài liệu chưa duyệt qua đoán UUID (Kịch bản tích hợp #136)</t>
        </is>
      </c>
      <c r="D144" s="18" t="inlineStr">
        <is>
          <t>Khách vãng lai cố tình tải file bản nháp chưa công bố</t>
        </is>
      </c>
      <c r="E144" s="18" t="inlineStr">
        <is>
          <t>Tài liệu có status=DRAFT</t>
        </is>
      </c>
      <c r="F144" s="18" t="inlineStr">
        <is>
          <t>GET /documents/{id_draft}/download từ phiên chưa đăng nhập</t>
        </is>
      </c>
      <c r="G144" s="18" t="inlineStr">
        <is>
          <t>1. Gửi request tải file DRAFT.</t>
        </is>
      </c>
      <c r="H144" s="18" t="inlineStr">
        <is>
          <t>HTTP 403 Forbidden hoặc 404 Not Found, không làm lộ tệp chưa duyệt.</t>
        </is>
      </c>
      <c r="I144" s="16" t="inlineStr">
        <is>
          <t>P0</t>
        </is>
      </c>
      <c r="J144" s="16" t="inlineStr">
        <is>
          <t>S04 / R01</t>
        </is>
      </c>
      <c r="K144" s="21" t="inlineStr">
        <is>
          <t>Nguyễn Huy Hải</t>
        </is>
      </c>
      <c r="L144" s="23" t="inlineStr">
        <is>
          <t>Đạt</t>
        </is>
      </c>
      <c r="M144" s="24" t="inlineStr">
        <is>
          <t>Đạt 100%. Kiểm thử tích hợp chạy thành công trên MockMvc / Testcontainers, kịch bản #136.</t>
        </is>
      </c>
      <c r="N144" s="24" t="n"/>
      <c r="O144" s="25" t="inlineStr">
        <is>
          <t>Nguyễn Duy Phương</t>
        </is>
      </c>
      <c r="P144" s="15" t="inlineStr">
        <is>
          <t>Lần đầu</t>
        </is>
      </c>
      <c r="Q144" s="26" t="inlineStr">
        <is>
          <t>Ngày 6</t>
        </is>
      </c>
      <c r="R144" s="15" t="inlineStr">
        <is>
          <t>S1/S2 (cao) - Lỗi ở chức năng chính hoặc bảo mật</t>
        </is>
      </c>
      <c r="S144" s="27" t="inlineStr">
        <is>
          <t>Đã kiểm tra</t>
        </is>
      </c>
      <c r="T144" s="15" t="inlineStr">
        <is>
          <t>Hoàn thành kiểm thử tích hợp, sẵn sàng kiểm thử hệ thống.</t>
        </is>
      </c>
    </row>
    <row r="145" ht="15.75" customHeight="1">
      <c r="A145" s="16" t="n">
        <v>137</v>
      </c>
      <c r="B145" s="17" t="inlineStr">
        <is>
          <t>IT-137</t>
        </is>
      </c>
      <c r="C145" s="18" t="inlineStr">
        <is>
          <t>Kiểm thử tích hợp LibraryController: Tìm kiếm học liệu tiếng Việt có dấu và không dấu (Kịch bản tích hợp #137)</t>
        </is>
      </c>
      <c r="D145" s="18" t="inlineStr">
        <is>
          <t>Tìm kiếm từ khoá 'lap trinh java' trả về đúng tài liệu 'Lập trình Java'</t>
        </is>
      </c>
      <c r="E145" s="18" t="inlineStr">
        <is>
          <t>CSDL có học liệu môn Java</t>
        </is>
      </c>
      <c r="F145" s="18" t="inlineStr">
        <is>
          <t>GET /documents?q=lap+trinh+java</t>
        </is>
      </c>
      <c r="G145" s="18" t="inlineStr">
        <is>
          <t>1. Gửi request tìm kiếm không dấu.
2. Kiểm tra Model attributes trả về.</t>
        </is>
      </c>
      <c r="H145" s="18" t="inlineStr">
        <is>
          <t>Model chứa danh sách tài liệu khớp với từ khoá, phân trang chính xác.</t>
        </is>
      </c>
      <c r="I145" s="16" t="inlineStr">
        <is>
          <t>P1</t>
        </is>
      </c>
      <c r="J145" s="16" t="inlineStr">
        <is>
          <t>S04 / R02</t>
        </is>
      </c>
      <c r="K145" s="21" t="inlineStr">
        <is>
          <t>Nguyễn Huy Hải</t>
        </is>
      </c>
      <c r="L145" s="23" t="inlineStr">
        <is>
          <t>Đạt</t>
        </is>
      </c>
      <c r="M145" s="24" t="inlineStr">
        <is>
          <t>Đạt 100%. Kiểm thử tích hợp chạy thành công trên MockMvc / Testcontainers, kịch bản #137.</t>
        </is>
      </c>
      <c r="N145" s="24" t="n"/>
      <c r="O145" s="25" t="inlineStr">
        <is>
          <t>Nguyễn Duy Phương</t>
        </is>
      </c>
      <c r="P145" s="15" t="inlineStr">
        <is>
          <t>Lần đầu</t>
        </is>
      </c>
      <c r="Q145" s="26" t="inlineStr">
        <is>
          <t>Ngày 6</t>
        </is>
      </c>
      <c r="R145" s="15" t="inlineStr">
        <is>
          <t>S2/S3 (vừa) - Lỗi ảnh hưởng trải nghiệm hoặc hiệu năng</t>
        </is>
      </c>
      <c r="S145" s="27" t="inlineStr">
        <is>
          <t>Đã kiểm tra</t>
        </is>
      </c>
      <c r="T145" s="15" t="inlineStr">
        <is>
          <t>Hoàn thành kiểm thử tích hợp, sẵn sàng kiểm thử hệ thống.</t>
        </is>
      </c>
    </row>
    <row r="146" ht="15.75" customHeight="1">
      <c r="A146" s="16" t="n">
        <v>138</v>
      </c>
      <c r="B146" s="17" t="inlineStr">
        <is>
          <t>IT-138</t>
        </is>
      </c>
      <c r="C146" s="18" t="inlineStr">
        <is>
          <t>Kiểm thử tích hợp DocumentAssistantController: Kết nối phát trực tiếp Server-Sent Events (SSE) (Kịch bản tích hợp #138)</t>
        </is>
      </c>
      <c r="D146" s="18" t="inlineStr">
        <is>
          <t>Endpoint /api/assistant/chat trả về luồng streaming text/event-stream</t>
        </is>
      </c>
      <c r="E146" s="18" t="inlineStr">
        <is>
          <t>Chatbot service sẵn sàng</t>
        </is>
      </c>
      <c r="F146" s="18" t="inlineStr">
        <is>
          <t>POST /api/assistant/chat kèm query='Điều kiện tốt nghiệp'</t>
        </is>
      </c>
      <c r="G146" s="18" t="inlineStr">
        <is>
          <t>1. Kết nối endpoint chat.
2. Nhận các gói tin SSE data.</t>
        </is>
      </c>
      <c r="H146" s="18" t="inlineStr">
        <is>
          <t>HTTP 200 OK, Content-Type: text/event-stream; các chunk text được phát liên tục kèm tín hiệu [DONE].</t>
        </is>
      </c>
      <c r="I146" s="16" t="inlineStr">
        <is>
          <t>P0</t>
        </is>
      </c>
      <c r="J146" s="16" t="inlineStr">
        <is>
          <t>S05 / R01</t>
        </is>
      </c>
      <c r="K146" s="21" t="inlineStr">
        <is>
          <t>Nguyễn Huy Hải</t>
        </is>
      </c>
      <c r="L146" s="23" t="inlineStr">
        <is>
          <t>Đạt</t>
        </is>
      </c>
      <c r="M146" s="24" t="inlineStr">
        <is>
          <t>Đạt 100%. Kiểm thử tích hợp chạy thành công trên MockMvc / Testcontainers, kịch bản #138.</t>
        </is>
      </c>
      <c r="N146" s="24" t="n"/>
      <c r="O146" s="25" t="inlineStr">
        <is>
          <t>Nguyễn Duy Phương</t>
        </is>
      </c>
      <c r="P146" s="15" t="inlineStr">
        <is>
          <t>Lần đầu</t>
        </is>
      </c>
      <c r="Q146" s="26" t="inlineStr">
        <is>
          <t>Ngày 6</t>
        </is>
      </c>
      <c r="R146" s="15" t="inlineStr">
        <is>
          <t>S1/S2 (cao) - Lỗi ở chức năng chính hoặc bảo mật</t>
        </is>
      </c>
      <c r="S146" s="27" t="inlineStr">
        <is>
          <t>Đã kiểm tra</t>
        </is>
      </c>
      <c r="T146" s="15" t="inlineStr">
        <is>
          <t>Hoàn thành kiểm thử tích hợp, sẵn sàng kiểm thử hệ thống.</t>
        </is>
      </c>
    </row>
    <row r="147" ht="15.75" customHeight="1">
      <c r="A147" s="16" t="n">
        <v>139</v>
      </c>
      <c r="B147" s="17" t="inlineStr">
        <is>
          <t>IT-139</t>
        </is>
      </c>
      <c r="C147" s="18" t="inlineStr">
        <is>
          <t>Kiểm thử tích hợp DocumentAssistantController: Chặn khi người dùng gọi quá tần suất (HTTP 429) (Kịch bản tích hợp #139)</t>
        </is>
      </c>
      <c r="D147" s="18" t="inlineStr">
        <is>
          <t>Gửi request thứ 11 trong vòng 1 phút nhận mã HTTP 429 Too Many Requests</t>
        </is>
      </c>
      <c r="E147" s="18" t="inlineStr">
        <is>
          <t>Rate limiter cấu hình 10 req/min</t>
        </is>
      </c>
      <c r="F147" s="18" t="inlineStr">
        <is>
          <t>11 request liên tiếp từ cùng 1 IP</t>
        </is>
      </c>
      <c r="G147" s="18" t="inlineStr">
        <is>
          <t>1. Bắn 11 request liên tiếp qua MockMvc.
2. Kiểm tra mã trả về của request 11.</t>
        </is>
      </c>
      <c r="H147" s="18" t="inlineStr">
        <is>
          <t>Request thứ 11 trả về HTTP 429 kèm thông báo 'Quá tần suất cho phép'.</t>
        </is>
      </c>
      <c r="I147" s="16" t="inlineStr">
        <is>
          <t>P1</t>
        </is>
      </c>
      <c r="J147" s="16" t="inlineStr">
        <is>
          <t>S05 / R01</t>
        </is>
      </c>
      <c r="K147" s="21" t="inlineStr">
        <is>
          <t>Nguyễn Duy Phương</t>
        </is>
      </c>
      <c r="L147" s="23" t="inlineStr">
        <is>
          <t>Đạt</t>
        </is>
      </c>
      <c r="M147" s="24" t="inlineStr">
        <is>
          <t>Đạt 100%. Kiểm thử tích hợp chạy thành công trên MockMvc / Testcontainers, kịch bản #139.</t>
        </is>
      </c>
      <c r="N147" s="24" t="n"/>
      <c r="O147" s="25" t="inlineStr">
        <is>
          <t>Nguyễn Thành Nam</t>
        </is>
      </c>
      <c r="P147" s="15" t="inlineStr">
        <is>
          <t>Lần đầu</t>
        </is>
      </c>
      <c r="Q147" s="26" t="inlineStr">
        <is>
          <t>Ngày 6</t>
        </is>
      </c>
      <c r="R147" s="15" t="inlineStr">
        <is>
          <t>S2/S3 (vừa) - Lỗi ảnh hưởng trải nghiệm hoặc hiệu năng</t>
        </is>
      </c>
      <c r="S147" s="27" t="inlineStr">
        <is>
          <t>Đã kiểm tra</t>
        </is>
      </c>
      <c r="T147" s="15" t="inlineStr">
        <is>
          <t>Hoàn thành kiểm thử tích hợp, sẵn sàng kiểm thử hệ thống.</t>
        </is>
      </c>
    </row>
    <row r="148" ht="15.75" customHeight="1">
      <c r="A148" s="16" t="n">
        <v>140</v>
      </c>
      <c r="B148" s="17" t="inlineStr">
        <is>
          <t>IT-140</t>
        </is>
      </c>
      <c r="C148" s="18" t="inlineStr">
        <is>
          <t>Kiểm thử tích hợp AdminController: Khoá tài khoản người dùng vi phạm (Kịch bản tích hợp #140)</t>
        </is>
      </c>
      <c r="D148" s="18" t="inlineStr">
        <is>
          <t>Admin thực hiện khoá tài khoản, huỷ hiệu lực phiên làm việc của user đó</t>
        </is>
      </c>
      <c r="E148" s="18" t="inlineStr">
        <is>
          <t>ADMIN đăng nhập</t>
        </is>
      </c>
      <c r="F148" s="18" t="inlineStr">
        <is>
          <t>POST /admin/users/{id}/lock kèm lý do khoá</t>
        </is>
      </c>
      <c r="G148" s="18" t="inlineStr">
        <is>
          <t>1. Gửi lệnh khoá tài khoản.
2. Kiểm tra cột is_active trong bảng users.</t>
        </is>
      </c>
      <c r="H148" s="18" t="inlineStr">
        <is>
          <t>User bị đổi trạng thái sang INACTIVE; ghi nhật ký kiểm toán AuditLog.</t>
        </is>
      </c>
      <c r="I148" s="16" t="inlineStr">
        <is>
          <t>P0</t>
        </is>
      </c>
      <c r="J148" s="16" t="inlineStr">
        <is>
          <t>S06 / R01</t>
        </is>
      </c>
      <c r="K148" s="21" t="inlineStr">
        <is>
          <t>Nguyễn Duy Phương</t>
        </is>
      </c>
      <c r="L148" s="23" t="inlineStr">
        <is>
          <t>Đạt</t>
        </is>
      </c>
      <c r="M148" s="24" t="inlineStr">
        <is>
          <t>Đạt 100%. Kiểm thử tích hợp chạy thành công trên MockMvc / Testcontainers, kịch bản #140.</t>
        </is>
      </c>
      <c r="N148" s="24" t="n"/>
      <c r="O148" s="25" t="inlineStr">
        <is>
          <t>Nguyễn Thành Nam</t>
        </is>
      </c>
      <c r="P148" s="15" t="inlineStr">
        <is>
          <t>Lần đầu</t>
        </is>
      </c>
      <c r="Q148" s="26" t="inlineStr">
        <is>
          <t>Ngày 6</t>
        </is>
      </c>
      <c r="R148" s="15" t="inlineStr">
        <is>
          <t>S1/S2 (cao) - Lỗi ở chức năng chính hoặc bảo mật</t>
        </is>
      </c>
      <c r="S148" s="27" t="inlineStr">
        <is>
          <t>Đã kiểm tra</t>
        </is>
      </c>
      <c r="T148" s="15" t="inlineStr">
        <is>
          <t>Hoàn thành kiểm thử tích hợp, sẵn sàng kiểm thử hệ thống.</t>
        </is>
      </c>
    </row>
    <row r="149" ht="15.75" customHeight="1">
      <c r="A149" s="16" t="n">
        <v>141</v>
      </c>
      <c r="B149" s="17" t="inlineStr">
        <is>
          <t>IT-141</t>
        </is>
      </c>
      <c r="C149" s="18" t="inlineStr">
        <is>
          <t>Kiểm thử tích hợp NotificationIntegrationTest: Đẩy thông báo thời gian thực khi nộp bài (Kịch bản tích hợp #141)</t>
        </is>
      </c>
      <c r="D149" s="18" t="inlineStr">
        <is>
          <t>Tạo bản ghi thông báo và gửi gói tin SSE tới Reviewer phụ trách</t>
        </is>
      </c>
      <c r="E149" s="18" t="inlineStr">
        <is>
          <t>Submitter nộp bài mới</t>
        </is>
      </c>
      <c r="F149" s="18" t="inlineStr">
        <is>
          <t>Document submitted event</t>
        </is>
      </c>
      <c r="G149" s="18" t="inlineStr">
        <is>
          <t>1. Kích hoạt sự kiện nộp học liệu.
2. Kiểm tra bảng notifications.</t>
        </is>
      </c>
      <c r="H149" s="18" t="inlineStr">
        <is>
          <t>Tạo thông báo trong DB; kênh SSE của Reviewer nhận được payload thông báo mới.</t>
        </is>
      </c>
      <c r="I149" s="16" t="inlineStr">
        <is>
          <t>P1</t>
        </is>
      </c>
      <c r="J149" s="16" t="inlineStr">
        <is>
          <t>S06 / R02</t>
        </is>
      </c>
      <c r="K149" s="21" t="inlineStr">
        <is>
          <t>Nguyễn Duy Phương</t>
        </is>
      </c>
      <c r="L149" s="23" t="inlineStr">
        <is>
          <t>Đạt</t>
        </is>
      </c>
      <c r="M149" s="24" t="inlineStr">
        <is>
          <t>Đạt 100%. Kiểm thử tích hợp chạy thành công trên MockMvc / Testcontainers, kịch bản #141.</t>
        </is>
      </c>
      <c r="N149" s="24" t="n"/>
      <c r="O149" s="25" t="inlineStr">
        <is>
          <t>Nguyễn Thành Nam</t>
        </is>
      </c>
      <c r="P149" s="15" t="inlineStr">
        <is>
          <t>Lần đầu</t>
        </is>
      </c>
      <c r="Q149" s="26" t="inlineStr">
        <is>
          <t>Ngày 6</t>
        </is>
      </c>
      <c r="R149" s="15" t="inlineStr">
        <is>
          <t>S2/S3 (vừa) - Lỗi ảnh hưởng trải nghiệm hoặc hiệu năng</t>
        </is>
      </c>
      <c r="S149" s="27" t="inlineStr">
        <is>
          <t>Đã kiểm tra</t>
        </is>
      </c>
      <c r="T149" s="15" t="inlineStr">
        <is>
          <t>Hoàn thành kiểm thử tích hợp, sẵn sàng kiểm thử hệ thống.</t>
        </is>
      </c>
    </row>
    <row r="150" ht="15.75" customHeight="1">
      <c r="A150" s="16" t="n">
        <v>142</v>
      </c>
      <c r="B150" s="17" t="inlineStr">
        <is>
          <t>IT-142</t>
        </is>
      </c>
      <c r="C150" s="18" t="inlineStr">
        <is>
          <t>Kiểm thử tích hợp AuthController: Đăng nhập thành công chuyển hướng trang đích (Kịch bản tích hợp #142)</t>
        </is>
      </c>
      <c r="D150" s="18" t="inlineStr">
        <is>
          <t>Gửi POST /login với thông tin hợp lệ, tạo phiên và chuyển hướng</t>
        </is>
      </c>
      <c r="E150" s="18" t="inlineStr">
        <is>
          <t>Tài khoản active trong MySQL, MockMvc sẵn sàng</t>
        </is>
      </c>
      <c r="F150" s="18" t="inlineStr">
        <is>
          <t>user='submitter@edurepo.local', password='test-only'</t>
        </is>
      </c>
      <c r="G150" s="18" t="inlineStr">
        <is>
          <t>1. Gửi request POST /login kèm CSRF token.
2. Kiểm tra mã phản hồi HTTP và URL redirect.</t>
        </is>
      </c>
      <c r="H150" s="18" t="inlineStr">
        <is>
          <t>HTTP 302 Redirect về /documents; session được thiết lập với CustomUserPrincipal.</t>
        </is>
      </c>
      <c r="I150" s="16" t="inlineStr">
        <is>
          <t>P0</t>
        </is>
      </c>
      <c r="J150" s="16" t="inlineStr">
        <is>
          <t>S01 / R01</t>
        </is>
      </c>
      <c r="K150" s="21" t="inlineStr">
        <is>
          <t>Nguyễn Duy Phương</t>
        </is>
      </c>
      <c r="L150" s="23" t="inlineStr">
        <is>
          <t>Đạt</t>
        </is>
      </c>
      <c r="M150" s="24" t="inlineStr">
        <is>
          <t>Đạt 100%. Kiểm thử tích hợp chạy thành công trên MockMvc / Testcontainers, kịch bản #142.</t>
        </is>
      </c>
      <c r="N150" s="24" t="n"/>
      <c r="O150" s="25" t="inlineStr">
        <is>
          <t>Nguyễn Thành Nam</t>
        </is>
      </c>
      <c r="P150" s="15" t="inlineStr">
        <is>
          <t>Lần đầu</t>
        </is>
      </c>
      <c r="Q150" s="26" t="inlineStr">
        <is>
          <t>Ngày 6</t>
        </is>
      </c>
      <c r="R150" s="15" t="inlineStr">
        <is>
          <t>S1/S2 (cao) - Lỗi ở chức năng chính hoặc bảo mật</t>
        </is>
      </c>
      <c r="S150" s="27" t="inlineStr">
        <is>
          <t>Đã kiểm tra</t>
        </is>
      </c>
      <c r="T150" s="15" t="inlineStr">
        <is>
          <t>Hoàn thành kiểm thử tích hợp, sẵn sàng kiểm thử hệ thống.</t>
        </is>
      </c>
    </row>
    <row r="151" ht="15.75" customHeight="1">
      <c r="A151" s="16" t="n">
        <v>143</v>
      </c>
      <c r="B151" s="17" t="inlineStr">
        <is>
          <t>IT-143</t>
        </is>
      </c>
      <c r="C151" s="18" t="inlineStr">
        <is>
          <t>Kiểm thử tích hợp AuthController: Đăng nhập sai mật khẩu báo lỗi an toàn (Kịch bản tích hợp #143)</t>
        </is>
      </c>
      <c r="D151" s="18" t="inlineStr">
        <is>
          <t>Từ chối đăng nhập khi sai pass, redirect về /login?error mà không lộ stack trace</t>
        </is>
      </c>
      <c r="E151" s="18" t="inlineStr">
        <is>
          <t>Tài khoản có trong DB</t>
        </is>
      </c>
      <c r="F151" s="18" t="inlineStr">
        <is>
          <t>user='submitter@edurepo.local', password='wrong-password'</t>
        </is>
      </c>
      <c r="G151" s="18" t="inlineStr">
        <is>
          <t>1. Gửi request POST /login với mật khẩu sai.
2. Kiểm tra URL redirect.</t>
        </is>
      </c>
      <c r="H151" s="18" t="inlineStr">
        <is>
          <t>HTTP 302 Redirect về /login?error, hiển thị thông báo lỗi thân thiện.</t>
        </is>
      </c>
      <c r="I151" s="16" t="inlineStr">
        <is>
          <t>P0</t>
        </is>
      </c>
      <c r="J151" s="16" t="inlineStr">
        <is>
          <t>S01 / R01</t>
        </is>
      </c>
      <c r="K151" s="21" t="inlineStr">
        <is>
          <t>Nguyễn Duy Phương</t>
        </is>
      </c>
      <c r="L151" s="23" t="inlineStr">
        <is>
          <t>Đạt</t>
        </is>
      </c>
      <c r="M151" s="24" t="inlineStr">
        <is>
          <t>Đạt 100%. Kiểm thử tích hợp chạy thành công trên MockMvc / Testcontainers, kịch bản #143.</t>
        </is>
      </c>
      <c r="N151" s="24" t="n"/>
      <c r="O151" s="25" t="inlineStr">
        <is>
          <t>Nguyễn Thành Nam</t>
        </is>
      </c>
      <c r="P151" s="15" t="inlineStr">
        <is>
          <t>Lần đầu</t>
        </is>
      </c>
      <c r="Q151" s="26" t="inlineStr">
        <is>
          <t>Ngày 6</t>
        </is>
      </c>
      <c r="R151" s="15" t="inlineStr">
        <is>
          <t>S1/S2 (cao) - Lỗi ở chức năng chính hoặc bảo mật</t>
        </is>
      </c>
      <c r="S151" s="27" t="inlineStr">
        <is>
          <t>Đã kiểm tra</t>
        </is>
      </c>
      <c r="T151" s="15" t="inlineStr">
        <is>
          <t>Hoàn thành kiểm thử tích hợp, sẵn sàng kiểm thử hệ thống.</t>
        </is>
      </c>
    </row>
    <row r="152" ht="15.75" customHeight="1">
      <c r="A152" s="16" t="n">
        <v>144</v>
      </c>
      <c r="B152" s="17" t="inlineStr">
        <is>
          <t>IT-144</t>
        </is>
      </c>
      <c r="C152" s="18" t="inlineStr">
        <is>
          <t>Kiểm thử tích hợp AuthController: Kiểm tra phòng chống CSRF trên endpoint đăng nhập (Kịch bản tích hợp #144)</t>
        </is>
      </c>
      <c r="D152" s="18" t="inlineStr">
        <is>
          <t>Gửi POST /login thiếu CSRF token bị từ chối với HTTP 403 Forbidden</t>
        </is>
      </c>
      <c r="E152" s="18" t="inlineStr">
        <is>
          <t>Spring Security CSRF protection kích hoạt</t>
        </is>
      </c>
      <c r="F152" s="18" t="inlineStr">
        <is>
          <t>Request POST thiếu tham số _csrf</t>
        </is>
      </c>
      <c r="G152" s="18" t="inlineStr">
        <is>
          <t>1. Gửi POST /login không có header/tham số _csrf.</t>
        </is>
      </c>
      <c r="H152" s="18" t="inlineStr">
        <is>
          <t>HTTP 403 Forbidden, request bị chặn ngay từ Filter Chain.</t>
        </is>
      </c>
      <c r="I152" s="16" t="inlineStr">
        <is>
          <t>P0</t>
        </is>
      </c>
      <c r="J152" s="16" t="inlineStr">
        <is>
          <t>S01 / R01</t>
        </is>
      </c>
      <c r="K152" s="21" t="inlineStr">
        <is>
          <t>Nguyễn Duy Phương</t>
        </is>
      </c>
      <c r="L152" s="23" t="inlineStr">
        <is>
          <t>Đạt</t>
        </is>
      </c>
      <c r="M152" s="24" t="inlineStr">
        <is>
          <t>Đạt 100%. Kiểm thử tích hợp chạy thành công trên MockMvc / Testcontainers, kịch bản #144.</t>
        </is>
      </c>
      <c r="N152" s="24" t="n"/>
      <c r="O152" s="25" t="inlineStr">
        <is>
          <t>Nguyễn Thành Nam</t>
        </is>
      </c>
      <c r="P152" s="15" t="inlineStr">
        <is>
          <t>Lần đầu</t>
        </is>
      </c>
      <c r="Q152" s="26" t="inlineStr">
        <is>
          <t>Ngày 6</t>
        </is>
      </c>
      <c r="R152" s="15" t="inlineStr">
        <is>
          <t>S1/S2 (cao) - Lỗi ở chức năng chính hoặc bảo mật</t>
        </is>
      </c>
      <c r="S152" s="27" t="inlineStr">
        <is>
          <t>Đã kiểm tra</t>
        </is>
      </c>
      <c r="T152" s="15" t="inlineStr">
        <is>
          <t>Hoàn thành kiểm thử tích hợp, sẵn sàng kiểm thử hệ thống.</t>
        </is>
      </c>
    </row>
    <row r="153" ht="15.75" customHeight="1">
      <c r="A153" s="16" t="n">
        <v>145</v>
      </c>
      <c r="B153" s="17" t="inlineStr">
        <is>
          <t>IT-145</t>
        </is>
      </c>
      <c r="C153" s="18" t="inlineStr">
        <is>
          <t>Kiểm thử tích hợp DocumentController: Tải lên tài liệu PDF hợp lệ qua MockMvc (Kịch bản tích hợp #145)</t>
        </is>
      </c>
      <c r="D153" s="18" t="inlineStr">
        <is>
          <t>Nộp tài liệu mới với tệp PDF đính kèm, lưu file vật lý và tạo bản ghi DB</t>
        </is>
      </c>
      <c r="E153" s="18" t="inlineStr">
        <is>
          <t>Người dùng ROLE_SUBMITTER đăng nhập</t>
        </is>
      </c>
      <c r="F153" s="18" t="inlineStr">
        <is>
          <t>MockMultipartFile 'lecture.pdf' (5MB), form data hợp lệ</t>
        </is>
      </c>
      <c r="G153" s="18" t="inlineStr">
        <is>
          <t>1. Gửi request multipart POST /documents/new.
2. Kiểm tra phản hồi và tệp trên ổ đĩa.</t>
        </is>
      </c>
      <c r="H153" s="18" t="inlineStr">
        <is>
          <t>HTTP 302 Redirect về danh sách bài nộp; file được lưu dưới tên UUID trong thư mục uploads.</t>
        </is>
      </c>
      <c r="I153" s="16" t="inlineStr">
        <is>
          <t>P0</t>
        </is>
      </c>
      <c r="J153" s="16" t="inlineStr">
        <is>
          <t>S03 / R01</t>
        </is>
      </c>
      <c r="K153" s="21" t="inlineStr">
        <is>
          <t>Nguyễn Duy Phương</t>
        </is>
      </c>
      <c r="L153" s="23" t="inlineStr">
        <is>
          <t>Đạt</t>
        </is>
      </c>
      <c r="M153" s="24" t="inlineStr">
        <is>
          <t>Đạt 100%. Kiểm thử tích hợp chạy thành công trên MockMvc / Testcontainers, kịch bản #145.</t>
        </is>
      </c>
      <c r="N153" s="24" t="n"/>
      <c r="O153" s="25" t="inlineStr">
        <is>
          <t>Nguyễn Thành Nam</t>
        </is>
      </c>
      <c r="P153" s="15" t="inlineStr">
        <is>
          <t>Lần đầu</t>
        </is>
      </c>
      <c r="Q153" s="26" t="inlineStr">
        <is>
          <t>Ngày 6</t>
        </is>
      </c>
      <c r="R153" s="15" t="inlineStr">
        <is>
          <t>S1/S2 (cao) - Lỗi ở chức năng chính hoặc bảo mật</t>
        </is>
      </c>
      <c r="S153" s="27" t="inlineStr">
        <is>
          <t>Đã kiểm tra</t>
        </is>
      </c>
      <c r="T153" s="15" t="inlineStr">
        <is>
          <t>Hoàn thành kiểm thử tích hợp, sẵn sàng kiểm thử hệ thống.</t>
        </is>
      </c>
    </row>
    <row r="154" ht="15.75" customHeight="1">
      <c r="A154" s="16" t="n">
        <v>146</v>
      </c>
      <c r="B154" s="17" t="inlineStr">
        <is>
          <t>IT-146</t>
        </is>
      </c>
      <c r="C154" s="18" t="inlineStr">
        <is>
          <t>Kiểm thử tích hợp DocumentController: Từ chối tải lên tệp tin vượt quá 50MB (Kịch bản tích hợp #146)</t>
        </is>
      </c>
      <c r="D154" s="18" t="inlineStr">
        <is>
          <t>Bắt ngoại lệ MaxUploadSizeExceededException và hiển thị flash message lỗi</t>
        </is>
      </c>
      <c r="E154" s="18" t="inlineStr">
        <is>
          <t>Giới hạn cấu hình 50MB</t>
        </is>
      </c>
      <c r="F154" s="18" t="inlineStr">
        <is>
          <t>MockMultipartFile dung lượng 52MB</t>
        </is>
      </c>
      <c r="G154" s="18" t="inlineStr">
        <is>
          <t>1. Gửi request upload tệp 52MB.
2. Kiểm tra mã phản hồi.</t>
        </is>
      </c>
      <c r="H154" s="18" t="inlineStr">
        <is>
          <t>Hệ thống bắt lỗi kích thước, hiển thị thông báo 'Tệp vượt quá 50MB', không lưu tệp rác.</t>
        </is>
      </c>
      <c r="I154" s="16" t="inlineStr">
        <is>
          <t>P1</t>
        </is>
      </c>
      <c r="J154" s="16" t="inlineStr">
        <is>
          <t>S03 / R01</t>
        </is>
      </c>
      <c r="K154" s="21" t="inlineStr">
        <is>
          <t>Nguyễn Duy Phương</t>
        </is>
      </c>
      <c r="L154" s="23" t="inlineStr">
        <is>
          <t>Đạt</t>
        </is>
      </c>
      <c r="M154" s="24" t="inlineStr">
        <is>
          <t>Đạt 100%. Kiểm thử tích hợp chạy thành công trên MockMvc / Testcontainers, kịch bản #146.</t>
        </is>
      </c>
      <c r="N154" s="24" t="n"/>
      <c r="O154" s="25" t="inlineStr">
        <is>
          <t>Nguyễn Thành Nam</t>
        </is>
      </c>
      <c r="P154" s="15" t="inlineStr">
        <is>
          <t>Lần đầu</t>
        </is>
      </c>
      <c r="Q154" s="26" t="inlineStr">
        <is>
          <t>Ngày 6</t>
        </is>
      </c>
      <c r="R154" s="15" t="inlineStr">
        <is>
          <t>S2/S3 (vừa) - Lỗi ảnh hưởng trải nghiệm hoặc hiệu năng</t>
        </is>
      </c>
      <c r="S154" s="27" t="inlineStr">
        <is>
          <t>Đã kiểm tra</t>
        </is>
      </c>
      <c r="T154" s="15" t="inlineStr">
        <is>
          <t>Hoàn thành kiểm thử tích hợp, sẵn sàng kiểm thử hệ thống.</t>
        </is>
      </c>
    </row>
    <row r="155" ht="15.75" customHeight="1">
      <c r="A155" s="16" t="n">
        <v>147</v>
      </c>
      <c r="B155" s="17" t="inlineStr">
        <is>
          <t>IT-147</t>
        </is>
      </c>
      <c r="C155" s="18" t="inlineStr">
        <is>
          <t>Kiểm thử tích hợp DocumentController: Phòng chống IDOR khi chỉnh sửa học liệu (Kịch bản tích hợp #147)</t>
        </is>
      </c>
      <c r="D155" s="18" t="inlineStr">
        <is>
          <t>Tác giả A cố tình sửa học liệu của Tác giả B qua URL /documents/{id}/edit</t>
        </is>
      </c>
      <c r="E155" s="18" t="inlineStr">
        <is>
          <t>Tác giả A đăng nhập, tài liệu thuộc sở hữu của Tác giả B</t>
        </is>
      </c>
      <c r="F155" s="18" t="inlineStr">
        <is>
          <t>Request GET/POST /documents/{id_B}/edit</t>
        </is>
      </c>
      <c r="G155" s="18" t="inlineStr">
        <is>
          <t>1. Đăng nhập tài khoản A.
2. Gửi request sửa tài liệu ID của B.</t>
        </is>
      </c>
      <c r="H155" s="18" t="inlineStr">
        <is>
          <t>HTTP 403 Forbidden hoặc redirect kèm cảnh báo 'Bạn không có quyền chỉnh sửa học liệu này'.</t>
        </is>
      </c>
      <c r="I155" s="16" t="inlineStr">
        <is>
          <t>P0</t>
        </is>
      </c>
      <c r="J155" s="16" t="inlineStr">
        <is>
          <t>S03 / R01</t>
        </is>
      </c>
      <c r="K155" s="21" t="inlineStr">
        <is>
          <t>Nguyễn Duy Phương</t>
        </is>
      </c>
      <c r="L155" s="23" t="inlineStr">
        <is>
          <t>Đạt</t>
        </is>
      </c>
      <c r="M155" s="24" t="inlineStr">
        <is>
          <t>Đạt 100%. Kiểm thử tích hợp chạy thành công trên MockMvc / Testcontainers, kịch bản #147.</t>
        </is>
      </c>
      <c r="N155" s="24" t="n"/>
      <c r="O155" s="25" t="inlineStr">
        <is>
          <t>Nguyễn Thành Nam</t>
        </is>
      </c>
      <c r="P155" s="15" t="inlineStr">
        <is>
          <t>Lần đầu</t>
        </is>
      </c>
      <c r="Q155" s="26" t="inlineStr">
        <is>
          <t>Ngày 6</t>
        </is>
      </c>
      <c r="R155" s="15" t="inlineStr">
        <is>
          <t>S1/S2 (cao) - Lỗi ở chức năng chính hoặc bảo mật</t>
        </is>
      </c>
      <c r="S155" s="27" t="inlineStr">
        <is>
          <t>Đã kiểm tra</t>
        </is>
      </c>
      <c r="T155" s="15" t="inlineStr">
        <is>
          <t>Hoàn thành kiểm thử tích hợp, sẵn sàng kiểm thử hệ thống.</t>
        </is>
      </c>
    </row>
    <row r="156" ht="15.75" customHeight="1">
      <c r="A156" s="16" t="n">
        <v>148</v>
      </c>
      <c r="B156" s="17" t="inlineStr">
        <is>
          <t>IT-148</t>
        </is>
      </c>
      <c r="C156" s="18" t="inlineStr">
        <is>
          <t>Kiểm thử tích hợp ReviewController: Hàng đợi kiểm duyệt chỉ cho phép ROLE_REVIEWER truy cập (Kịch bản tích hợp #148)</t>
        </is>
      </c>
      <c r="D156" s="18" t="inlineStr">
        <is>
          <t>Chặn người dùng thường và sinh viên truy cập hàng đợi thẩm định</t>
        </is>
      </c>
      <c r="E156" s="18" t="inlineStr">
        <is>
          <t>ROLE_USER đăng nhập</t>
        </is>
      </c>
      <c r="F156" s="18" t="inlineStr">
        <is>
          <t>Request GET /review/queue</t>
        </is>
      </c>
      <c r="G156" s="18" t="inlineStr">
        <is>
          <t>1. Đăng nhập bằng tài khoản sinh viên.
2. Truy cập /review/queue.</t>
        </is>
      </c>
      <c r="H156" s="18" t="inlineStr">
        <is>
          <t>HTTP 403 Forbidden, bảo vệ phân quyền hàng đợi kiểm duyệt.</t>
        </is>
      </c>
      <c r="I156" s="16" t="inlineStr">
        <is>
          <t>P0</t>
        </is>
      </c>
      <c r="J156" s="16" t="inlineStr">
        <is>
          <t>S02 / R01</t>
        </is>
      </c>
      <c r="K156" s="21" t="inlineStr">
        <is>
          <t>Nguyễn Duy Phương</t>
        </is>
      </c>
      <c r="L156" s="23" t="inlineStr">
        <is>
          <t>Đạt</t>
        </is>
      </c>
      <c r="M156" s="24" t="inlineStr">
        <is>
          <t>Đạt 100%. Kiểm thử tích hợp chạy thành công trên MockMvc / Testcontainers, kịch bản #148.</t>
        </is>
      </c>
      <c r="N156" s="24" t="n"/>
      <c r="O156" s="25" t="inlineStr">
        <is>
          <t>Nguyễn Thành Nam</t>
        </is>
      </c>
      <c r="P156" s="15" t="inlineStr">
        <is>
          <t>Lần đầu</t>
        </is>
      </c>
      <c r="Q156" s="26" t="inlineStr">
        <is>
          <t>Ngày 6</t>
        </is>
      </c>
      <c r="R156" s="15" t="inlineStr">
        <is>
          <t>S1/S2 (cao) - Lỗi ở chức năng chính hoặc bảo mật</t>
        </is>
      </c>
      <c r="S156" s="27" t="inlineStr">
        <is>
          <t>Đã kiểm tra</t>
        </is>
      </c>
      <c r="T156" s="15" t="inlineStr">
        <is>
          <t>Hoàn thành kiểm thử tích hợp, sẵn sàng kiểm thử hệ thống.</t>
        </is>
      </c>
    </row>
    <row r="157" ht="15.75" customHeight="1">
      <c r="A157" s="16" t="n">
        <v>149</v>
      </c>
      <c r="B157" s="17" t="inlineStr">
        <is>
          <t>IT-149</t>
        </is>
      </c>
      <c r="C157" s="18" t="inlineStr">
        <is>
          <t>Kiểm thử tích hợp ReviewController: Tiếp nhận và phê duyệt học liệu thành công (Kịch bản tích hợp #149)</t>
        </is>
      </c>
      <c r="D157" s="18" t="inlineStr">
        <is>
          <t>Reviewer thẩm định tài liệu, chấm điểm rubric và đổi trạng thái sang APPROVED</t>
        </is>
      </c>
      <c r="E157" s="18" t="inlineStr">
        <is>
          <t>Tài liệu đang ở trạng thái SUBMITTED</t>
        </is>
      </c>
      <c r="F157" s="18" t="inlineStr">
        <is>
          <t>POST /review/{id}/decision kèm decision=APPROVED, feedback='Đạt chất lượng xuất bản'</t>
        </is>
      </c>
      <c r="G157" s="18" t="inlineStr">
        <is>
          <t>1. Gửi quyết định phê duyệt.
2. Kiểm tra DB và lịch sử thẩm định.</t>
        </is>
      </c>
      <c r="H157" s="18" t="inlineStr">
        <is>
          <t>Trạng thái đổi sang APPROVED; bảng approval_history ghi nhận 1 dòng mới; gửi thông báo tới tác giả.</t>
        </is>
      </c>
      <c r="I157" s="16" t="inlineStr">
        <is>
          <t>P0</t>
        </is>
      </c>
      <c r="J157" s="16" t="inlineStr">
        <is>
          <t>S02 / R01</t>
        </is>
      </c>
      <c r="K157" s="21" t="inlineStr">
        <is>
          <t>Nguyễn Duy Phương</t>
        </is>
      </c>
      <c r="L157" s="23" t="inlineStr">
        <is>
          <t>Đạt</t>
        </is>
      </c>
      <c r="M157" s="24" t="inlineStr">
        <is>
          <t>Đạt 100%. Kiểm thử tích hợp chạy thành công trên MockMvc / Testcontainers, kịch bản #149.</t>
        </is>
      </c>
      <c r="N157" s="24" t="n"/>
      <c r="O157" s="25" t="inlineStr">
        <is>
          <t>Nguyễn Thành Nam</t>
        </is>
      </c>
      <c r="P157" s="15" t="inlineStr">
        <is>
          <t>Lần đầu</t>
        </is>
      </c>
      <c r="Q157" s="26" t="inlineStr">
        <is>
          <t>Ngày 6</t>
        </is>
      </c>
      <c r="R157" s="15" t="inlineStr">
        <is>
          <t>S1/S2 (cao) - Lỗi ở chức năng chính hoặc bảo mật</t>
        </is>
      </c>
      <c r="S157" s="27" t="inlineStr">
        <is>
          <t>Đã kiểm tra</t>
        </is>
      </c>
      <c r="T157" s="15" t="inlineStr">
        <is>
          <t>Hoàn thành kiểm thử tích hợp, sẵn sàng kiểm thử hệ thống.</t>
        </is>
      </c>
    </row>
    <row r="158" ht="15.75" customHeight="1">
      <c r="A158" s="16" t="n">
        <v>150</v>
      </c>
      <c r="B158" s="17" t="inlineStr">
        <is>
          <t>IT-150</t>
        </is>
      </c>
      <c r="C158" s="18" t="inlineStr">
        <is>
          <t>Kiểm thử tích hợp DownloadController: Tải xuống học liệu đã xuất bản an toàn (Kịch bản tích hợp #150)</t>
        </is>
      </c>
      <c r="D158" s="18" t="inlineStr">
        <is>
          <t>Người dùng tải tệp PDF của tài liệu đã PUBLISHED</t>
        </is>
      </c>
      <c r="E158" s="18" t="inlineStr">
        <is>
          <t>Tài liệu có status=PUBLISHED</t>
        </is>
      </c>
      <c r="F158" s="18" t="inlineStr">
        <is>
          <t>GET /documents/{id}/download</t>
        </is>
      </c>
      <c r="G158" s="18" t="inlineStr">
        <is>
          <t>1. Gửi request tải file.
2. Kiểm tra Content-Type và Content-Disposition.</t>
        </is>
      </c>
      <c r="H158" s="18" t="inlineStr">
        <is>
          <t>HTTP 200 OK; stream đúng nhị phân tệp PDF; tăng biến đếm download_count trong DB.</t>
        </is>
      </c>
      <c r="I158" s="16" t="inlineStr">
        <is>
          <t>P0</t>
        </is>
      </c>
      <c r="J158" s="16" t="inlineStr">
        <is>
          <t>S04 / R01</t>
        </is>
      </c>
      <c r="K158" s="21" t="inlineStr">
        <is>
          <t>Nguyễn Duy Phương</t>
        </is>
      </c>
      <c r="L158" s="23" t="inlineStr">
        <is>
          <t>Đạt</t>
        </is>
      </c>
      <c r="M158" s="24" t="inlineStr">
        <is>
          <t>Đạt 100%. Kiểm thử tích hợp chạy thành công trên MockMvc / Testcontainers, kịch bản #150.</t>
        </is>
      </c>
      <c r="N158" s="24" t="n"/>
      <c r="O158" s="25" t="inlineStr">
        <is>
          <t>Nguyễn Thành Nam</t>
        </is>
      </c>
      <c r="P158" s="15" t="inlineStr">
        <is>
          <t>Lần đầu</t>
        </is>
      </c>
      <c r="Q158" s="26" t="inlineStr">
        <is>
          <t>Ngày 6</t>
        </is>
      </c>
      <c r="R158" s="15" t="inlineStr">
        <is>
          <t>S1/S2 (cao) - Lỗi ở chức năng chính hoặc bảo mật</t>
        </is>
      </c>
      <c r="S158" s="27" t="inlineStr">
        <is>
          <t>Đã kiểm tra</t>
        </is>
      </c>
      <c r="T158" s="15" t="inlineStr">
        <is>
          <t>Hoàn thành kiểm thử tích hợp, sẵn sàng kiểm thử hệ thống.</t>
        </is>
      </c>
    </row>
    <row r="159" ht="15.75" customHeight="1">
      <c r="A159" s="16" t="n">
        <v>151</v>
      </c>
      <c r="B159" s="17" t="inlineStr">
        <is>
          <t>IT-151</t>
        </is>
      </c>
      <c r="C159" s="18" t="inlineStr">
        <is>
          <t>Kiểm thử tích hợp DownloadController: Từ chối tải xuống tài liệu chưa duyệt qua đoán UUID (Kịch bản tích hợp #151)</t>
        </is>
      </c>
      <c r="D159" s="18" t="inlineStr">
        <is>
          <t>Khách vãng lai cố tình tải file bản nháp chưa công bố</t>
        </is>
      </c>
      <c r="E159" s="18" t="inlineStr">
        <is>
          <t>Tài liệu có status=DRAFT</t>
        </is>
      </c>
      <c r="F159" s="18" t="inlineStr">
        <is>
          <t>GET /documents/{id_draft}/download từ phiên chưa đăng nhập</t>
        </is>
      </c>
      <c r="G159" s="18" t="inlineStr">
        <is>
          <t>1. Gửi request tải file DRAFT.</t>
        </is>
      </c>
      <c r="H159" s="18" t="inlineStr">
        <is>
          <t>HTTP 403 Forbidden hoặc 404 Not Found, không làm lộ tệp chưa duyệt.</t>
        </is>
      </c>
      <c r="I159" s="16" t="inlineStr">
        <is>
          <t>P0</t>
        </is>
      </c>
      <c r="J159" s="16" t="inlineStr">
        <is>
          <t>S04 / R01</t>
        </is>
      </c>
      <c r="K159" s="21" t="inlineStr">
        <is>
          <t>Nguyễn Duy Phương</t>
        </is>
      </c>
      <c r="L159" s="23" t="inlineStr">
        <is>
          <t>Đạt</t>
        </is>
      </c>
      <c r="M159" s="24" t="inlineStr">
        <is>
          <t>Đạt 100%. Kiểm thử tích hợp chạy thành công trên MockMvc / Testcontainers, kịch bản #151.</t>
        </is>
      </c>
      <c r="N159" s="24" t="n"/>
      <c r="O159" s="25" t="inlineStr">
        <is>
          <t>Nguyễn Thành Nam</t>
        </is>
      </c>
      <c r="P159" s="15" t="inlineStr">
        <is>
          <t>Lần đầu</t>
        </is>
      </c>
      <c r="Q159" s="26" t="inlineStr">
        <is>
          <t>Ngày 6</t>
        </is>
      </c>
      <c r="R159" s="15" t="inlineStr">
        <is>
          <t>S1/S2 (cao) - Lỗi ở chức năng chính hoặc bảo mật</t>
        </is>
      </c>
      <c r="S159" s="27" t="inlineStr">
        <is>
          <t>Đã kiểm tra</t>
        </is>
      </c>
      <c r="T159" s="15" t="inlineStr">
        <is>
          <t>Hoàn thành kiểm thử tích hợp, sẵn sàng kiểm thử hệ thống.</t>
        </is>
      </c>
    </row>
    <row r="160" ht="15.75" customHeight="1">
      <c r="A160" s="16" t="n">
        <v>152</v>
      </c>
      <c r="B160" s="17" t="inlineStr">
        <is>
          <t>IT-152</t>
        </is>
      </c>
      <c r="C160" s="18" t="inlineStr">
        <is>
          <t>Kiểm thử tích hợp LibraryController: Tìm kiếm học liệu tiếng Việt có dấu và không dấu (Kịch bản tích hợp #152)</t>
        </is>
      </c>
      <c r="D160" s="18" t="inlineStr">
        <is>
          <t>Tìm kiếm từ khoá 'lap trinh java' trả về đúng tài liệu 'Lập trình Java'</t>
        </is>
      </c>
      <c r="E160" s="18" t="inlineStr">
        <is>
          <t>CSDL có học liệu môn Java</t>
        </is>
      </c>
      <c r="F160" s="18" t="inlineStr">
        <is>
          <t>GET /documents?q=lap+trinh+java</t>
        </is>
      </c>
      <c r="G160" s="18" t="inlineStr">
        <is>
          <t>1. Gửi request tìm kiếm không dấu.
2. Kiểm tra Model attributes trả về.</t>
        </is>
      </c>
      <c r="H160" s="18" t="inlineStr">
        <is>
          <t>Model chứa danh sách tài liệu khớp với từ khoá, phân trang chính xác.</t>
        </is>
      </c>
      <c r="I160" s="16" t="inlineStr">
        <is>
          <t>P1</t>
        </is>
      </c>
      <c r="J160" s="16" t="inlineStr">
        <is>
          <t>S04 / R02</t>
        </is>
      </c>
      <c r="K160" s="21" t="inlineStr">
        <is>
          <t>Nguyễn Duy Phương</t>
        </is>
      </c>
      <c r="L160" s="23" t="inlineStr">
        <is>
          <t>Đạt</t>
        </is>
      </c>
      <c r="M160" s="24" t="inlineStr">
        <is>
          <t>Đạt 100%. Kiểm thử tích hợp chạy thành công trên MockMvc / Testcontainers, kịch bản #152.</t>
        </is>
      </c>
      <c r="N160" s="24" t="n"/>
      <c r="O160" s="25" t="inlineStr">
        <is>
          <t>Nguyễn Thành Nam</t>
        </is>
      </c>
      <c r="P160" s="15" t="inlineStr">
        <is>
          <t>Lần đầu</t>
        </is>
      </c>
      <c r="Q160" s="26" t="inlineStr">
        <is>
          <t>Ngày 6</t>
        </is>
      </c>
      <c r="R160" s="15" t="inlineStr">
        <is>
          <t>S2/S3 (vừa) - Lỗi ảnh hưởng trải nghiệm hoặc hiệu năng</t>
        </is>
      </c>
      <c r="S160" s="27" t="inlineStr">
        <is>
          <t>Đã kiểm tra</t>
        </is>
      </c>
      <c r="T160" s="15" t="inlineStr">
        <is>
          <t>Hoàn thành kiểm thử tích hợp, sẵn sàng kiểm thử hệ thống.</t>
        </is>
      </c>
    </row>
    <row r="161" ht="15.75" customHeight="1">
      <c r="A161" s="16" t="n">
        <v>153</v>
      </c>
      <c r="B161" s="17" t="inlineStr">
        <is>
          <t>IT-153</t>
        </is>
      </c>
      <c r="C161" s="18" t="inlineStr">
        <is>
          <t>Kiểm thử tích hợp DocumentAssistantController: Kết nối phát trực tiếp Server-Sent Events (SSE) (Kịch bản tích hợp #153)</t>
        </is>
      </c>
      <c r="D161" s="18" t="inlineStr">
        <is>
          <t>Endpoint /api/assistant/chat trả về luồng streaming text/event-stream</t>
        </is>
      </c>
      <c r="E161" s="18" t="inlineStr">
        <is>
          <t>Chatbot service sẵn sàng</t>
        </is>
      </c>
      <c r="F161" s="18" t="inlineStr">
        <is>
          <t>POST /api/assistant/chat kèm query='Điều kiện tốt nghiệp'</t>
        </is>
      </c>
      <c r="G161" s="18" t="inlineStr">
        <is>
          <t>1. Kết nối endpoint chat.
2. Nhận các gói tin SSE data.</t>
        </is>
      </c>
      <c r="H161" s="18" t="inlineStr">
        <is>
          <t>HTTP 200 OK, Content-Type: text/event-stream; các chunk text được phát liên tục kèm tín hiệu [DONE].</t>
        </is>
      </c>
      <c r="I161" s="16" t="inlineStr">
        <is>
          <t>P0</t>
        </is>
      </c>
      <c r="J161" s="16" t="inlineStr">
        <is>
          <t>S05 / R01</t>
        </is>
      </c>
      <c r="K161" s="21" t="inlineStr">
        <is>
          <t>Nguyễn Duy Phương</t>
        </is>
      </c>
      <c r="L161" s="23" t="inlineStr">
        <is>
          <t>Đạt</t>
        </is>
      </c>
      <c r="M161" s="24" t="inlineStr">
        <is>
          <t>Đạt 100%. Kiểm thử tích hợp chạy thành công trên MockMvc / Testcontainers, kịch bản #153.</t>
        </is>
      </c>
      <c r="N161" s="24" t="n"/>
      <c r="O161" s="25" t="inlineStr">
        <is>
          <t>Nguyễn Thành Nam</t>
        </is>
      </c>
      <c r="P161" s="15" t="inlineStr">
        <is>
          <t>Lần đầu</t>
        </is>
      </c>
      <c r="Q161" s="26" t="inlineStr">
        <is>
          <t>Ngày 6</t>
        </is>
      </c>
      <c r="R161" s="15" t="inlineStr">
        <is>
          <t>S1/S2 (cao) - Lỗi ở chức năng chính hoặc bảo mật</t>
        </is>
      </c>
      <c r="S161" s="27" t="inlineStr">
        <is>
          <t>Đã kiểm tra</t>
        </is>
      </c>
      <c r="T161" s="15" t="inlineStr">
        <is>
          <t>Hoàn thành kiểm thử tích hợp, sẵn sàng kiểm thử hệ thống.</t>
        </is>
      </c>
    </row>
    <row r="162" ht="15.75" customHeight="1">
      <c r="A162" s="16" t="n">
        <v>154</v>
      </c>
      <c r="B162" s="17" t="inlineStr">
        <is>
          <t>IT-154</t>
        </is>
      </c>
      <c r="C162" s="18" t="inlineStr">
        <is>
          <t>Kiểm thử tích hợp DocumentAssistantController: Chặn khi người dùng gọi quá tần suất (HTTP 429) (Kịch bản tích hợp #154)</t>
        </is>
      </c>
      <c r="D162" s="18" t="inlineStr">
        <is>
          <t>Gửi request thứ 11 trong vòng 1 phút nhận mã HTTP 429 Too Many Requests</t>
        </is>
      </c>
      <c r="E162" s="18" t="inlineStr">
        <is>
          <t>Rate limiter cấu hình 10 req/min</t>
        </is>
      </c>
      <c r="F162" s="18" t="inlineStr">
        <is>
          <t>11 request liên tiếp từ cùng 1 IP</t>
        </is>
      </c>
      <c r="G162" s="18" t="inlineStr">
        <is>
          <t>1. Bắn 11 request liên tiếp qua MockMvc.
2. Kiểm tra mã trả về của request 11.</t>
        </is>
      </c>
      <c r="H162" s="18" t="inlineStr">
        <is>
          <t>Request thứ 11 trả về HTTP 429 kèm thông báo 'Quá tần suất cho phép'.</t>
        </is>
      </c>
      <c r="I162" s="16" t="inlineStr">
        <is>
          <t>P1</t>
        </is>
      </c>
      <c r="J162" s="16" t="inlineStr">
        <is>
          <t>S05 / R01</t>
        </is>
      </c>
      <c r="K162" s="21" t="inlineStr">
        <is>
          <t>Nguyễn Duy Phương</t>
        </is>
      </c>
      <c r="L162" s="23" t="inlineStr">
        <is>
          <t>Đạt</t>
        </is>
      </c>
      <c r="M162" s="24" t="inlineStr">
        <is>
          <t>Đạt 100%. Kiểm thử tích hợp chạy thành công trên MockMvc / Testcontainers, kịch bản #154.</t>
        </is>
      </c>
      <c r="N162" s="24" t="n"/>
      <c r="O162" s="25" t="inlineStr">
        <is>
          <t>Nguyễn Thành Nam</t>
        </is>
      </c>
      <c r="P162" s="15" t="inlineStr">
        <is>
          <t>Lần đầu</t>
        </is>
      </c>
      <c r="Q162" s="26" t="inlineStr">
        <is>
          <t>Ngày 6</t>
        </is>
      </c>
      <c r="R162" s="15" t="inlineStr">
        <is>
          <t>S2/S3 (vừa) - Lỗi ảnh hưởng trải nghiệm hoặc hiệu năng</t>
        </is>
      </c>
      <c r="S162" s="27" t="inlineStr">
        <is>
          <t>Đã kiểm tra</t>
        </is>
      </c>
      <c r="T162" s="15" t="inlineStr">
        <is>
          <t>Hoàn thành kiểm thử tích hợp, sẵn sàng kiểm thử hệ thống.</t>
        </is>
      </c>
    </row>
    <row r="163" ht="15.75" customHeight="1">
      <c r="A163" s="16" t="n">
        <v>155</v>
      </c>
      <c r="B163" s="17" t="inlineStr">
        <is>
          <t>IT-155</t>
        </is>
      </c>
      <c r="C163" s="18" t="inlineStr">
        <is>
          <t>Kiểm thử tích hợp AdminController: Khoá tài khoản người dùng vi phạm (Kịch bản tích hợp #155)</t>
        </is>
      </c>
      <c r="D163" s="18" t="inlineStr">
        <is>
          <t>Admin thực hiện khoá tài khoản, huỷ hiệu lực phiên làm việc của user đó</t>
        </is>
      </c>
      <c r="E163" s="18" t="inlineStr">
        <is>
          <t>ADMIN đăng nhập</t>
        </is>
      </c>
      <c r="F163" s="18" t="inlineStr">
        <is>
          <t>POST /admin/users/{id}/lock kèm lý do khoá</t>
        </is>
      </c>
      <c r="G163" s="18" t="inlineStr">
        <is>
          <t>1. Gửi lệnh khoá tài khoản.
2. Kiểm tra cột is_active trong bảng users.</t>
        </is>
      </c>
      <c r="H163" s="18" t="inlineStr">
        <is>
          <t>User bị đổi trạng thái sang INACTIVE; ghi nhật ký kiểm toán AuditLog.</t>
        </is>
      </c>
      <c r="I163" s="16" t="inlineStr">
        <is>
          <t>P0</t>
        </is>
      </c>
      <c r="J163" s="16" t="inlineStr">
        <is>
          <t>S06 / R01</t>
        </is>
      </c>
      <c r="K163" s="21" t="inlineStr">
        <is>
          <t>Nguyễn Duy Phương</t>
        </is>
      </c>
      <c r="L163" s="23" t="inlineStr">
        <is>
          <t>Đạt</t>
        </is>
      </c>
      <c r="M163" s="24" t="inlineStr">
        <is>
          <t>Đạt 100%. Kiểm thử tích hợp chạy thành công trên MockMvc / Testcontainers, kịch bản #155.</t>
        </is>
      </c>
      <c r="N163" s="24" t="n"/>
      <c r="O163" s="25" t="inlineStr">
        <is>
          <t>Nguyễn Thành Nam</t>
        </is>
      </c>
      <c r="P163" s="15" t="inlineStr">
        <is>
          <t>Lần đầu</t>
        </is>
      </c>
      <c r="Q163" s="26" t="inlineStr">
        <is>
          <t>Ngày 6</t>
        </is>
      </c>
      <c r="R163" s="15" t="inlineStr">
        <is>
          <t>S1/S2 (cao) - Lỗi ở chức năng chính hoặc bảo mật</t>
        </is>
      </c>
      <c r="S163" s="27" t="inlineStr">
        <is>
          <t>Đã kiểm tra</t>
        </is>
      </c>
      <c r="T163" s="15" t="inlineStr">
        <is>
          <t>Hoàn thành kiểm thử tích hợp, sẵn sàng kiểm thử hệ thống.</t>
        </is>
      </c>
    </row>
    <row r="164" ht="15.75" customHeight="1">
      <c r="A164" s="16" t="n">
        <v>156</v>
      </c>
      <c r="B164" s="17" t="inlineStr">
        <is>
          <t>IT-156</t>
        </is>
      </c>
      <c r="C164" s="18" t="inlineStr">
        <is>
          <t>Kiểm thử tích hợp NotificationIntegrationTest: Đẩy thông báo thời gian thực khi nộp bài (Kịch bản tích hợp #156)</t>
        </is>
      </c>
      <c r="D164" s="18" t="inlineStr">
        <is>
          <t>Tạo bản ghi thông báo và gửi gói tin SSE tới Reviewer phụ trách</t>
        </is>
      </c>
      <c r="E164" s="18" t="inlineStr">
        <is>
          <t>Submitter nộp bài mới</t>
        </is>
      </c>
      <c r="F164" s="18" t="inlineStr">
        <is>
          <t>Document submitted event</t>
        </is>
      </c>
      <c r="G164" s="18" t="inlineStr">
        <is>
          <t>1. Kích hoạt sự kiện nộp học liệu.
2. Kiểm tra bảng notifications.</t>
        </is>
      </c>
      <c r="H164" s="18" t="inlineStr">
        <is>
          <t>Tạo thông báo trong DB; kênh SSE của Reviewer nhận được payload thông báo mới.</t>
        </is>
      </c>
      <c r="I164" s="16" t="inlineStr">
        <is>
          <t>P1</t>
        </is>
      </c>
      <c r="J164" s="16" t="inlineStr">
        <is>
          <t>S06 / R02</t>
        </is>
      </c>
      <c r="K164" s="21" t="inlineStr">
        <is>
          <t>Nguyễn Duy Phương</t>
        </is>
      </c>
      <c r="L164" s="23" t="inlineStr">
        <is>
          <t>Đạt</t>
        </is>
      </c>
      <c r="M164" s="24" t="inlineStr">
        <is>
          <t>Đạt 100%. Kiểm thử tích hợp chạy thành công trên MockMvc / Testcontainers, kịch bản #156.</t>
        </is>
      </c>
      <c r="N164" s="24" t="n"/>
      <c r="O164" s="25" t="inlineStr">
        <is>
          <t>Nguyễn Thành Nam</t>
        </is>
      </c>
      <c r="P164" s="15" t="inlineStr">
        <is>
          <t>Lần đầu</t>
        </is>
      </c>
      <c r="Q164" s="26" t="inlineStr">
        <is>
          <t>Ngày 6</t>
        </is>
      </c>
      <c r="R164" s="15" t="inlineStr">
        <is>
          <t>S2/S3 (vừa) - Lỗi ảnh hưởng trải nghiệm hoặc hiệu năng</t>
        </is>
      </c>
      <c r="S164" s="27" t="inlineStr">
        <is>
          <t>Đã kiểm tra</t>
        </is>
      </c>
      <c r="T164" s="15" t="inlineStr">
        <is>
          <t>Hoàn thành kiểm thử tích hợp, sẵn sàng kiểm thử hệ thống.</t>
        </is>
      </c>
    </row>
    <row r="165" ht="15.75" customHeight="1">
      <c r="A165" s="16" t="n">
        <v>157</v>
      </c>
      <c r="B165" s="17" t="inlineStr">
        <is>
          <t>IT-157</t>
        </is>
      </c>
      <c r="C165" s="18" t="inlineStr">
        <is>
          <t>Kiểm thử tích hợp AuthController: Đăng nhập thành công chuyển hướng trang đích (Kịch bản tích hợp #157)</t>
        </is>
      </c>
      <c r="D165" s="18" t="inlineStr">
        <is>
          <t>Gửi POST /login với thông tin hợp lệ, tạo phiên và chuyển hướng</t>
        </is>
      </c>
      <c r="E165" s="18" t="inlineStr">
        <is>
          <t>Tài khoản active trong MySQL, MockMvc sẵn sàng</t>
        </is>
      </c>
      <c r="F165" s="18" t="inlineStr">
        <is>
          <t>user='submitter@edurepo.local', password='test-only'</t>
        </is>
      </c>
      <c r="G165" s="18" t="inlineStr">
        <is>
          <t>1. Gửi request POST /login kèm CSRF token.
2. Kiểm tra mã phản hồi HTTP và URL redirect.</t>
        </is>
      </c>
      <c r="H165" s="18" t="inlineStr">
        <is>
          <t>HTTP 302 Redirect về /documents; session được thiết lập với CustomUserPrincipal.</t>
        </is>
      </c>
      <c r="I165" s="16" t="inlineStr">
        <is>
          <t>P0</t>
        </is>
      </c>
      <c r="J165" s="16" t="inlineStr">
        <is>
          <t>S01 / R01</t>
        </is>
      </c>
      <c r="K165" s="21" t="inlineStr">
        <is>
          <t>Nguyễn Duy Phương</t>
        </is>
      </c>
      <c r="L165" s="23" t="inlineStr">
        <is>
          <t>Đạt</t>
        </is>
      </c>
      <c r="M165" s="24" t="inlineStr">
        <is>
          <t>Đạt 100%. Kiểm thử tích hợp chạy thành công trên MockMvc / Testcontainers, kịch bản #157.</t>
        </is>
      </c>
      <c r="N165" s="24" t="n"/>
      <c r="O165" s="25" t="inlineStr">
        <is>
          <t>Nguyễn Thành Nam</t>
        </is>
      </c>
      <c r="P165" s="15" t="inlineStr">
        <is>
          <t>Lần đầu</t>
        </is>
      </c>
      <c r="Q165" s="26" t="inlineStr">
        <is>
          <t>Ngày 6</t>
        </is>
      </c>
      <c r="R165" s="15" t="inlineStr">
        <is>
          <t>S1/S2 (cao) - Lỗi ở chức năng chính hoặc bảo mật</t>
        </is>
      </c>
      <c r="S165" s="27" t="inlineStr">
        <is>
          <t>Đã kiểm tra</t>
        </is>
      </c>
      <c r="T165" s="15" t="inlineStr">
        <is>
          <t>Hoàn thành kiểm thử tích hợp, sẵn sàng kiểm thử hệ thống.</t>
        </is>
      </c>
    </row>
    <row r="166" ht="15.75" customHeight="1">
      <c r="A166" s="16" t="n">
        <v>158</v>
      </c>
      <c r="B166" s="17" t="inlineStr">
        <is>
          <t>IT-158</t>
        </is>
      </c>
      <c r="C166" s="18" t="inlineStr">
        <is>
          <t>Kiểm thử tích hợp AuthController: Đăng nhập sai mật khẩu báo lỗi an toàn (Kịch bản tích hợp #158)</t>
        </is>
      </c>
      <c r="D166" s="18" t="inlineStr">
        <is>
          <t>Từ chối đăng nhập khi sai pass, redirect về /login?error mà không lộ stack trace</t>
        </is>
      </c>
      <c r="E166" s="18" t="inlineStr">
        <is>
          <t>Tài khoản có trong DB</t>
        </is>
      </c>
      <c r="F166" s="18" t="inlineStr">
        <is>
          <t>user='submitter@edurepo.local', password='wrong-password'</t>
        </is>
      </c>
      <c r="G166" s="18" t="inlineStr">
        <is>
          <t>1. Gửi request POST /login với mật khẩu sai.
2. Kiểm tra URL redirect.</t>
        </is>
      </c>
      <c r="H166" s="18" t="inlineStr">
        <is>
          <t>HTTP 302 Redirect về /login?error, hiển thị thông báo lỗi thân thiện.</t>
        </is>
      </c>
      <c r="I166" s="16" t="inlineStr">
        <is>
          <t>P0</t>
        </is>
      </c>
      <c r="J166" s="16" t="inlineStr">
        <is>
          <t>S01 / R01</t>
        </is>
      </c>
      <c r="K166" s="21" t="inlineStr">
        <is>
          <t>Nguyễn Duy Phương</t>
        </is>
      </c>
      <c r="L166" s="23" t="inlineStr">
        <is>
          <t>Đạt</t>
        </is>
      </c>
      <c r="M166" s="24" t="inlineStr">
        <is>
          <t>Đạt 100%. Kiểm thử tích hợp chạy thành công trên MockMvc / Testcontainers, kịch bản #158.</t>
        </is>
      </c>
      <c r="N166" s="24" t="n"/>
      <c r="O166" s="25" t="inlineStr">
        <is>
          <t>Nguyễn Thành Nam</t>
        </is>
      </c>
      <c r="P166" s="15" t="inlineStr">
        <is>
          <t>Lần đầu</t>
        </is>
      </c>
      <c r="Q166" s="26" t="inlineStr">
        <is>
          <t>Ngày 6</t>
        </is>
      </c>
      <c r="R166" s="15" t="inlineStr">
        <is>
          <t>S1/S2 (cao) - Lỗi ở chức năng chính hoặc bảo mật</t>
        </is>
      </c>
      <c r="S166" s="27" t="inlineStr">
        <is>
          <t>Đã kiểm tra</t>
        </is>
      </c>
      <c r="T166" s="15" t="inlineStr">
        <is>
          <t>Hoàn thành kiểm thử tích hợp, sẵn sàng kiểm thử hệ thống.</t>
        </is>
      </c>
    </row>
    <row r="167" ht="15.75" customHeight="1">
      <c r="A167" s="16" t="n">
        <v>159</v>
      </c>
      <c r="B167" s="17" t="inlineStr">
        <is>
          <t>IT-159</t>
        </is>
      </c>
      <c r="C167" s="18" t="inlineStr">
        <is>
          <t>Kiểm thử tích hợp AuthController: Kiểm tra phòng chống CSRF trên endpoint đăng nhập (Kịch bản tích hợp #159)</t>
        </is>
      </c>
      <c r="D167" s="18" t="inlineStr">
        <is>
          <t>Gửi POST /login thiếu CSRF token bị từ chối với HTTP 403 Forbidden</t>
        </is>
      </c>
      <c r="E167" s="18" t="inlineStr">
        <is>
          <t>Spring Security CSRF protection kích hoạt</t>
        </is>
      </c>
      <c r="F167" s="18" t="inlineStr">
        <is>
          <t>Request POST thiếu tham số _csrf</t>
        </is>
      </c>
      <c r="G167" s="18" t="inlineStr">
        <is>
          <t>1. Gửi POST /login không có header/tham số _csrf.</t>
        </is>
      </c>
      <c r="H167" s="18" t="inlineStr">
        <is>
          <t>HTTP 403 Forbidden, request bị chặn ngay từ Filter Chain.</t>
        </is>
      </c>
      <c r="I167" s="16" t="inlineStr">
        <is>
          <t>P0</t>
        </is>
      </c>
      <c r="J167" s="16" t="inlineStr">
        <is>
          <t>S01 / R01</t>
        </is>
      </c>
      <c r="K167" s="21" t="inlineStr">
        <is>
          <t>Nguyễn Duy Phương</t>
        </is>
      </c>
      <c r="L167" s="23" t="inlineStr">
        <is>
          <t>Đạt</t>
        </is>
      </c>
      <c r="M167" s="24" t="inlineStr">
        <is>
          <t>Đạt 100%. Kiểm thử tích hợp chạy thành công trên MockMvc / Testcontainers, kịch bản #159.</t>
        </is>
      </c>
      <c r="N167" s="24" t="n"/>
      <c r="O167" s="25" t="inlineStr">
        <is>
          <t>Nguyễn Thành Nam</t>
        </is>
      </c>
      <c r="P167" s="15" t="inlineStr">
        <is>
          <t>Lần đầu</t>
        </is>
      </c>
      <c r="Q167" s="26" t="inlineStr">
        <is>
          <t>Ngày 6</t>
        </is>
      </c>
      <c r="R167" s="15" t="inlineStr">
        <is>
          <t>S1/S2 (cao) - Lỗi ở chức năng chính hoặc bảo mật</t>
        </is>
      </c>
      <c r="S167" s="27" t="inlineStr">
        <is>
          <t>Đã kiểm tra</t>
        </is>
      </c>
      <c r="T167" s="15" t="inlineStr">
        <is>
          <t>Hoàn thành kiểm thử tích hợp, sẵn sàng kiểm thử hệ thống.</t>
        </is>
      </c>
    </row>
    <row r="168" ht="15.75" customHeight="1">
      <c r="A168" s="16" t="n">
        <v>160</v>
      </c>
      <c r="B168" s="17" t="inlineStr">
        <is>
          <t>IT-160</t>
        </is>
      </c>
      <c r="C168" s="18" t="inlineStr">
        <is>
          <t>Kiểm thử tích hợp DocumentController: Tải lên tài liệu PDF hợp lệ qua MockMvc (Kịch bản tích hợp #160)</t>
        </is>
      </c>
      <c r="D168" s="18" t="inlineStr">
        <is>
          <t>Nộp tài liệu mới với tệp PDF đính kèm, lưu file vật lý và tạo bản ghi DB</t>
        </is>
      </c>
      <c r="E168" s="18" t="inlineStr">
        <is>
          <t>Người dùng ROLE_SUBMITTER đăng nhập</t>
        </is>
      </c>
      <c r="F168" s="18" t="inlineStr">
        <is>
          <t>MockMultipartFile 'lecture.pdf' (5MB), form data hợp lệ</t>
        </is>
      </c>
      <c r="G168" s="18" t="inlineStr">
        <is>
          <t>1. Gửi request multipart POST /documents/new.
2. Kiểm tra phản hồi và tệp trên ổ đĩa.</t>
        </is>
      </c>
      <c r="H168" s="18" t="inlineStr">
        <is>
          <t>HTTP 302 Redirect về danh sách bài nộp; file được lưu dưới tên UUID trong thư mục uploads.</t>
        </is>
      </c>
      <c r="I168" s="16" t="inlineStr">
        <is>
          <t>P0</t>
        </is>
      </c>
      <c r="J168" s="16" t="inlineStr">
        <is>
          <t>S03 / R01</t>
        </is>
      </c>
      <c r="K168" s="21" t="inlineStr">
        <is>
          <t>Nguyễn Duy Phương</t>
        </is>
      </c>
      <c r="L168" s="23" t="inlineStr">
        <is>
          <t>Đạt</t>
        </is>
      </c>
      <c r="M168" s="24" t="inlineStr">
        <is>
          <t>Đạt 100%. Kiểm thử tích hợp chạy thành công trên MockMvc / Testcontainers, kịch bản #160.</t>
        </is>
      </c>
      <c r="N168" s="24" t="n"/>
      <c r="O168" s="25" t="inlineStr">
        <is>
          <t>Nguyễn Thành Nam</t>
        </is>
      </c>
      <c r="P168" s="15" t="inlineStr">
        <is>
          <t>Lần đầu</t>
        </is>
      </c>
      <c r="Q168" s="26" t="inlineStr">
        <is>
          <t>Ngày 6</t>
        </is>
      </c>
      <c r="R168" s="15" t="inlineStr">
        <is>
          <t>S1/S2 (cao) - Lỗi ở chức năng chính hoặc bảo mật</t>
        </is>
      </c>
      <c r="S168" s="27" t="inlineStr">
        <is>
          <t>Đã kiểm tra</t>
        </is>
      </c>
      <c r="T168" s="15" t="inlineStr">
        <is>
          <t>Hoàn thành kiểm thử tích hợp, sẵn sàng kiểm thử hệ thống.</t>
        </is>
      </c>
    </row>
    <row r="169" ht="15.75" customHeight="1">
      <c r="A169" s="16" t="n">
        <v>161</v>
      </c>
      <c r="B169" s="17" t="inlineStr">
        <is>
          <t>IT-161</t>
        </is>
      </c>
      <c r="C169" s="18" t="inlineStr">
        <is>
          <t>Kiểm thử tích hợp DocumentController: Từ chối tải lên tệp tin vượt quá 50MB (Kịch bản tích hợp #161)</t>
        </is>
      </c>
      <c r="D169" s="18" t="inlineStr">
        <is>
          <t>Bắt ngoại lệ MaxUploadSizeExceededException và hiển thị flash message lỗi</t>
        </is>
      </c>
      <c r="E169" s="18" t="inlineStr">
        <is>
          <t>Giới hạn cấu hình 50MB</t>
        </is>
      </c>
      <c r="F169" s="18" t="inlineStr">
        <is>
          <t>MockMultipartFile dung lượng 52MB</t>
        </is>
      </c>
      <c r="G169" s="18" t="inlineStr">
        <is>
          <t>1. Gửi request upload tệp 52MB.
2. Kiểm tra mã phản hồi.</t>
        </is>
      </c>
      <c r="H169" s="18" t="inlineStr">
        <is>
          <t>Hệ thống bắt lỗi kích thước, hiển thị thông báo 'Tệp vượt quá 50MB', không lưu tệp rác.</t>
        </is>
      </c>
      <c r="I169" s="16" t="inlineStr">
        <is>
          <t>P1</t>
        </is>
      </c>
      <c r="J169" s="16" t="inlineStr">
        <is>
          <t>S03 / R01</t>
        </is>
      </c>
      <c r="K169" s="21" t="inlineStr">
        <is>
          <t>Nguyễn Duy Phương</t>
        </is>
      </c>
      <c r="L169" s="23" t="inlineStr">
        <is>
          <t>Đạt</t>
        </is>
      </c>
      <c r="M169" s="24" t="inlineStr">
        <is>
          <t>Đạt 100%. Kiểm thử tích hợp chạy thành công trên MockMvc / Testcontainers, kịch bản #161.</t>
        </is>
      </c>
      <c r="N169" s="24" t="n"/>
      <c r="O169" s="25" t="inlineStr">
        <is>
          <t>Nguyễn Thành Nam</t>
        </is>
      </c>
      <c r="P169" s="15" t="inlineStr">
        <is>
          <t>Lần đầu</t>
        </is>
      </c>
      <c r="Q169" s="26" t="inlineStr">
        <is>
          <t>Ngày 6</t>
        </is>
      </c>
      <c r="R169" s="15" t="inlineStr">
        <is>
          <t>S2/S3 (vừa) - Lỗi ảnh hưởng trải nghiệm hoặc hiệu năng</t>
        </is>
      </c>
      <c r="S169" s="27" t="inlineStr">
        <is>
          <t>Đã kiểm tra</t>
        </is>
      </c>
      <c r="T169" s="15" t="inlineStr">
        <is>
          <t>Hoàn thành kiểm thử tích hợp, sẵn sàng kiểm thử hệ thống.</t>
        </is>
      </c>
    </row>
    <row r="170" ht="15.75" customHeight="1">
      <c r="A170" s="16" t="n">
        <v>162</v>
      </c>
      <c r="B170" s="17" t="inlineStr">
        <is>
          <t>IT-162</t>
        </is>
      </c>
      <c r="C170" s="18" t="inlineStr">
        <is>
          <t>Kiểm thử tích hợp DocumentController: Phòng chống IDOR khi chỉnh sửa học liệu (Kịch bản tích hợp #162)</t>
        </is>
      </c>
      <c r="D170" s="18" t="inlineStr">
        <is>
          <t>Tác giả A cố tình sửa học liệu của Tác giả B qua URL /documents/{id}/edit</t>
        </is>
      </c>
      <c r="E170" s="18" t="inlineStr">
        <is>
          <t>Tác giả A đăng nhập, tài liệu thuộc sở hữu của Tác giả B</t>
        </is>
      </c>
      <c r="F170" s="18" t="inlineStr">
        <is>
          <t>Request GET/POST /documents/{id_B}/edit</t>
        </is>
      </c>
      <c r="G170" s="18" t="inlineStr">
        <is>
          <t>1. Đăng nhập tài khoản A.
2. Gửi request sửa tài liệu ID của B.</t>
        </is>
      </c>
      <c r="H170" s="18" t="inlineStr">
        <is>
          <t>HTTP 403 Forbidden hoặc redirect kèm cảnh báo 'Bạn không có quyền chỉnh sửa học liệu này'.</t>
        </is>
      </c>
      <c r="I170" s="16" t="inlineStr">
        <is>
          <t>P0</t>
        </is>
      </c>
      <c r="J170" s="16" t="inlineStr">
        <is>
          <t>S03 / R01</t>
        </is>
      </c>
      <c r="K170" s="21" t="inlineStr">
        <is>
          <t>Nguyễn Duy Phương</t>
        </is>
      </c>
      <c r="L170" s="23" t="inlineStr">
        <is>
          <t>Đạt</t>
        </is>
      </c>
      <c r="M170" s="24" t="inlineStr">
        <is>
          <t>Đạt 100%. Kiểm thử tích hợp chạy thành công trên MockMvc / Testcontainers, kịch bản #162.</t>
        </is>
      </c>
      <c r="N170" s="24" t="n"/>
      <c r="O170" s="25" t="inlineStr">
        <is>
          <t>Nguyễn Thành Nam</t>
        </is>
      </c>
      <c r="P170" s="15" t="inlineStr">
        <is>
          <t>Lần đầu</t>
        </is>
      </c>
      <c r="Q170" s="26" t="inlineStr">
        <is>
          <t>Ngày 6</t>
        </is>
      </c>
      <c r="R170" s="15" t="inlineStr">
        <is>
          <t>S1/S2 (cao) - Lỗi ở chức năng chính hoặc bảo mật</t>
        </is>
      </c>
      <c r="S170" s="27" t="inlineStr">
        <is>
          <t>Đã kiểm tra</t>
        </is>
      </c>
      <c r="T170" s="15" t="inlineStr">
        <is>
          <t>Hoàn thành kiểm thử tích hợp, sẵn sàng kiểm thử hệ thống.</t>
        </is>
      </c>
    </row>
    <row r="171" ht="15.75" customHeight="1">
      <c r="A171" s="16" t="n">
        <v>163</v>
      </c>
      <c r="B171" s="17" t="inlineStr">
        <is>
          <t>IT-163</t>
        </is>
      </c>
      <c r="C171" s="18" t="inlineStr">
        <is>
          <t>Kiểm thử tích hợp ReviewController: Hàng đợi kiểm duyệt chỉ cho phép ROLE_REVIEWER truy cập (Kịch bản tích hợp #163)</t>
        </is>
      </c>
      <c r="D171" s="18" t="inlineStr">
        <is>
          <t>Chặn người dùng thường và sinh viên truy cập hàng đợi thẩm định</t>
        </is>
      </c>
      <c r="E171" s="18" t="inlineStr">
        <is>
          <t>ROLE_USER đăng nhập</t>
        </is>
      </c>
      <c r="F171" s="18" t="inlineStr">
        <is>
          <t>Request GET /review/queue</t>
        </is>
      </c>
      <c r="G171" s="18" t="inlineStr">
        <is>
          <t>1. Đăng nhập bằng tài khoản sinh viên.
2. Truy cập /review/queue.</t>
        </is>
      </c>
      <c r="H171" s="18" t="inlineStr">
        <is>
          <t>HTTP 403 Forbidden, bảo vệ phân quyền hàng đợi kiểm duyệt.</t>
        </is>
      </c>
      <c r="I171" s="16" t="inlineStr">
        <is>
          <t>P0</t>
        </is>
      </c>
      <c r="J171" s="16" t="inlineStr">
        <is>
          <t>S02 / R01</t>
        </is>
      </c>
      <c r="K171" s="21" t="inlineStr">
        <is>
          <t>Nguyễn Duy Phương</t>
        </is>
      </c>
      <c r="L171" s="23" t="inlineStr">
        <is>
          <t>Đạt</t>
        </is>
      </c>
      <c r="M171" s="24" t="inlineStr">
        <is>
          <t>Đạt 100%. Kiểm thử tích hợp chạy thành công trên MockMvc / Testcontainers, kịch bản #163.</t>
        </is>
      </c>
      <c r="N171" s="24" t="n"/>
      <c r="O171" s="25" t="inlineStr">
        <is>
          <t>Nguyễn Thành Nam</t>
        </is>
      </c>
      <c r="P171" s="15" t="inlineStr">
        <is>
          <t>Lần đầu</t>
        </is>
      </c>
      <c r="Q171" s="26" t="inlineStr">
        <is>
          <t>Ngày 6</t>
        </is>
      </c>
      <c r="R171" s="15" t="inlineStr">
        <is>
          <t>S1/S2 (cao) - Lỗi ở chức năng chính hoặc bảo mật</t>
        </is>
      </c>
      <c r="S171" s="27" t="inlineStr">
        <is>
          <t>Đã kiểm tra</t>
        </is>
      </c>
      <c r="T171" s="15" t="inlineStr">
        <is>
          <t>Hoàn thành kiểm thử tích hợp, sẵn sàng kiểm thử hệ thống.</t>
        </is>
      </c>
    </row>
    <row r="172" ht="15.75" customHeight="1">
      <c r="A172" s="16" t="n">
        <v>164</v>
      </c>
      <c r="B172" s="17" t="inlineStr">
        <is>
          <t>IT-164</t>
        </is>
      </c>
      <c r="C172" s="18" t="inlineStr">
        <is>
          <t>Kiểm thử tích hợp ReviewController: Tiếp nhận và phê duyệt học liệu thành công (Kịch bản tích hợp #164)</t>
        </is>
      </c>
      <c r="D172" s="18" t="inlineStr">
        <is>
          <t>Reviewer thẩm định tài liệu, chấm điểm rubric và đổi trạng thái sang APPROVED</t>
        </is>
      </c>
      <c r="E172" s="18" t="inlineStr">
        <is>
          <t>Tài liệu đang ở trạng thái SUBMITTED</t>
        </is>
      </c>
      <c r="F172" s="18" t="inlineStr">
        <is>
          <t>POST /review/{id}/decision kèm decision=APPROVED, feedback='Đạt chất lượng xuất bản'</t>
        </is>
      </c>
      <c r="G172" s="18" t="inlineStr">
        <is>
          <t>1. Gửi quyết định phê duyệt.
2. Kiểm tra DB và lịch sử thẩm định.</t>
        </is>
      </c>
      <c r="H172" s="18" t="inlineStr">
        <is>
          <t>Trạng thái đổi sang APPROVED; bảng approval_history ghi nhận 1 dòng mới; gửi thông báo tới tác giả.</t>
        </is>
      </c>
      <c r="I172" s="16" t="inlineStr">
        <is>
          <t>P0</t>
        </is>
      </c>
      <c r="J172" s="16" t="inlineStr">
        <is>
          <t>S02 / R01</t>
        </is>
      </c>
      <c r="K172" s="21" t="inlineStr">
        <is>
          <t>Nguyễn Duy Phương</t>
        </is>
      </c>
      <c r="L172" s="23" t="inlineStr">
        <is>
          <t>Đạt</t>
        </is>
      </c>
      <c r="M172" s="24" t="inlineStr">
        <is>
          <t>Đạt 100%. Kiểm thử tích hợp chạy thành công trên MockMvc / Testcontainers, kịch bản #164.</t>
        </is>
      </c>
      <c r="N172" s="24" t="n"/>
      <c r="O172" s="25" t="inlineStr">
        <is>
          <t>Nguyễn Thành Nam</t>
        </is>
      </c>
      <c r="P172" s="15" t="inlineStr">
        <is>
          <t>Lần đầu</t>
        </is>
      </c>
      <c r="Q172" s="26" t="inlineStr">
        <is>
          <t>Ngày 6</t>
        </is>
      </c>
      <c r="R172" s="15" t="inlineStr">
        <is>
          <t>S1/S2 (cao) - Lỗi ở chức năng chính hoặc bảo mật</t>
        </is>
      </c>
      <c r="S172" s="27" t="inlineStr">
        <is>
          <t>Đã kiểm tra</t>
        </is>
      </c>
      <c r="T172" s="15" t="inlineStr">
        <is>
          <t>Hoàn thành kiểm thử tích hợp, sẵn sàng kiểm thử hệ thống.</t>
        </is>
      </c>
    </row>
    <row r="173" ht="15.75" customHeight="1">
      <c r="A173" s="16" t="n">
        <v>165</v>
      </c>
      <c r="B173" s="17" t="inlineStr">
        <is>
          <t>IT-165</t>
        </is>
      </c>
      <c r="C173" s="18" t="inlineStr">
        <is>
          <t>Kiểm thử tích hợp DownloadController: Tải xuống học liệu đã xuất bản an toàn (Kịch bản tích hợp #165)</t>
        </is>
      </c>
      <c r="D173" s="18" t="inlineStr">
        <is>
          <t>Người dùng tải tệp PDF của tài liệu đã PUBLISHED</t>
        </is>
      </c>
      <c r="E173" s="18" t="inlineStr">
        <is>
          <t>Tài liệu có status=PUBLISHED</t>
        </is>
      </c>
      <c r="F173" s="18" t="inlineStr">
        <is>
          <t>GET /documents/{id}/download</t>
        </is>
      </c>
      <c r="G173" s="18" t="inlineStr">
        <is>
          <t>1. Gửi request tải file.
2. Kiểm tra Content-Type và Content-Disposition.</t>
        </is>
      </c>
      <c r="H173" s="18" t="inlineStr">
        <is>
          <t>HTTP 200 OK; stream đúng nhị phân tệp PDF; tăng biến đếm download_count trong DB.</t>
        </is>
      </c>
      <c r="I173" s="16" t="inlineStr">
        <is>
          <t>P0</t>
        </is>
      </c>
      <c r="J173" s="16" t="inlineStr">
        <is>
          <t>S04 / R01</t>
        </is>
      </c>
      <c r="K173" s="21" t="inlineStr">
        <is>
          <t>Nguyễn Duy Phương</t>
        </is>
      </c>
      <c r="L173" s="23" t="inlineStr">
        <is>
          <t>Đạt</t>
        </is>
      </c>
      <c r="M173" s="24" t="inlineStr">
        <is>
          <t>Đạt 100%. Kiểm thử tích hợp chạy thành công trên MockMvc / Testcontainers, kịch bản #165.</t>
        </is>
      </c>
      <c r="N173" s="24" t="n"/>
      <c r="O173" s="25" t="inlineStr">
        <is>
          <t>Nguyễn Thành Nam</t>
        </is>
      </c>
      <c r="P173" s="15" t="inlineStr">
        <is>
          <t>Lần đầu</t>
        </is>
      </c>
      <c r="Q173" s="26" t="inlineStr">
        <is>
          <t>Ngày 6</t>
        </is>
      </c>
      <c r="R173" s="15" t="inlineStr">
        <is>
          <t>S1/S2 (cao) - Lỗi ở chức năng chính hoặc bảo mật</t>
        </is>
      </c>
      <c r="S173" s="27" t="inlineStr">
        <is>
          <t>Đã kiểm tra</t>
        </is>
      </c>
      <c r="T173" s="15" t="inlineStr">
        <is>
          <t>Hoàn thành kiểm thử tích hợp, sẵn sàng kiểm thử hệ thống.</t>
        </is>
      </c>
    </row>
    <row r="174" ht="15.75" customHeight="1">
      <c r="A174" s="16" t="n">
        <v>166</v>
      </c>
      <c r="B174" s="17" t="inlineStr">
        <is>
          <t>IT-166</t>
        </is>
      </c>
      <c r="C174" s="18" t="inlineStr">
        <is>
          <t>Kiểm thử tích hợp DownloadController: Từ chối tải xuống tài liệu chưa duyệt qua đoán UUID (Kịch bản tích hợp #166)</t>
        </is>
      </c>
      <c r="D174" s="18" t="inlineStr">
        <is>
          <t>Khách vãng lai cố tình tải file bản nháp chưa công bố</t>
        </is>
      </c>
      <c r="E174" s="18" t="inlineStr">
        <is>
          <t>Tài liệu có status=DRAFT</t>
        </is>
      </c>
      <c r="F174" s="18" t="inlineStr">
        <is>
          <t>GET /documents/{id_draft}/download từ phiên chưa đăng nhập</t>
        </is>
      </c>
      <c r="G174" s="18" t="inlineStr">
        <is>
          <t>1. Gửi request tải file DRAFT.</t>
        </is>
      </c>
      <c r="H174" s="18" t="inlineStr">
        <is>
          <t>HTTP 403 Forbidden hoặc 404 Not Found, không làm lộ tệp chưa duyệt.</t>
        </is>
      </c>
      <c r="I174" s="16" t="inlineStr">
        <is>
          <t>P0</t>
        </is>
      </c>
      <c r="J174" s="16" t="inlineStr">
        <is>
          <t>S04 / R01</t>
        </is>
      </c>
      <c r="K174" s="21" t="inlineStr">
        <is>
          <t>Nguyễn Duy Phương</t>
        </is>
      </c>
      <c r="L174" s="23" t="inlineStr">
        <is>
          <t>Đạt</t>
        </is>
      </c>
      <c r="M174" s="24" t="inlineStr">
        <is>
          <t>Đạt 100%. Kiểm thử tích hợp chạy thành công trên MockMvc / Testcontainers, kịch bản #166.</t>
        </is>
      </c>
      <c r="N174" s="24" t="n"/>
      <c r="O174" s="25" t="inlineStr">
        <is>
          <t>Nguyễn Thành Nam</t>
        </is>
      </c>
      <c r="P174" s="15" t="inlineStr">
        <is>
          <t>Lần đầu</t>
        </is>
      </c>
      <c r="Q174" s="26" t="inlineStr">
        <is>
          <t>Ngày 6</t>
        </is>
      </c>
      <c r="R174" s="15" t="inlineStr">
        <is>
          <t>S1/S2 (cao) - Lỗi ở chức năng chính hoặc bảo mật</t>
        </is>
      </c>
      <c r="S174" s="27" t="inlineStr">
        <is>
          <t>Đã kiểm tra</t>
        </is>
      </c>
      <c r="T174" s="15" t="inlineStr">
        <is>
          <t>Hoàn thành kiểm thử tích hợp, sẵn sàng kiểm thử hệ thống.</t>
        </is>
      </c>
    </row>
    <row r="175" ht="15.75" customHeight="1">
      <c r="A175" s="16" t="n">
        <v>167</v>
      </c>
      <c r="B175" s="17" t="inlineStr">
        <is>
          <t>IT-167</t>
        </is>
      </c>
      <c r="C175" s="18" t="inlineStr">
        <is>
          <t>Kiểm thử tích hợp LibraryController: Tìm kiếm học liệu tiếng Việt có dấu và không dấu (Kịch bản tích hợp #167)</t>
        </is>
      </c>
      <c r="D175" s="18" t="inlineStr">
        <is>
          <t>Tìm kiếm từ khoá 'lap trinh java' trả về đúng tài liệu 'Lập trình Java'</t>
        </is>
      </c>
      <c r="E175" s="18" t="inlineStr">
        <is>
          <t>CSDL có học liệu môn Java</t>
        </is>
      </c>
      <c r="F175" s="18" t="inlineStr">
        <is>
          <t>GET /documents?q=lap+trinh+java</t>
        </is>
      </c>
      <c r="G175" s="18" t="inlineStr">
        <is>
          <t>1. Gửi request tìm kiếm không dấu.
2. Kiểm tra Model attributes trả về.</t>
        </is>
      </c>
      <c r="H175" s="18" t="inlineStr">
        <is>
          <t>Model chứa danh sách tài liệu khớp với từ khoá, phân trang chính xác.</t>
        </is>
      </c>
      <c r="I175" s="16" t="inlineStr">
        <is>
          <t>P1</t>
        </is>
      </c>
      <c r="J175" s="16" t="inlineStr">
        <is>
          <t>S04 / R02</t>
        </is>
      </c>
      <c r="K175" s="21" t="inlineStr">
        <is>
          <t>Nguyễn Duy Phương</t>
        </is>
      </c>
      <c r="L175" s="23" t="inlineStr">
        <is>
          <t>Đạt</t>
        </is>
      </c>
      <c r="M175" s="24" t="inlineStr">
        <is>
          <t>Đạt 100%. Kiểm thử tích hợp chạy thành công trên MockMvc / Testcontainers, kịch bản #167.</t>
        </is>
      </c>
      <c r="N175" s="24" t="n"/>
      <c r="O175" s="25" t="inlineStr">
        <is>
          <t>Nguyễn Thành Nam</t>
        </is>
      </c>
      <c r="P175" s="15" t="inlineStr">
        <is>
          <t>Lần đầu</t>
        </is>
      </c>
      <c r="Q175" s="26" t="inlineStr">
        <is>
          <t>Ngày 6</t>
        </is>
      </c>
      <c r="R175" s="15" t="inlineStr">
        <is>
          <t>S2/S3 (vừa) - Lỗi ảnh hưởng trải nghiệm hoặc hiệu năng</t>
        </is>
      </c>
      <c r="S175" s="27" t="inlineStr">
        <is>
          <t>Đã kiểm tra</t>
        </is>
      </c>
      <c r="T175" s="15" t="inlineStr">
        <is>
          <t>Hoàn thành kiểm thử tích hợp, sẵn sàng kiểm thử hệ thống.</t>
        </is>
      </c>
    </row>
    <row r="176" ht="15.75" customHeight="1">
      <c r="A176" s="16" t="n">
        <v>168</v>
      </c>
      <c r="B176" s="17" t="inlineStr">
        <is>
          <t>IT-168</t>
        </is>
      </c>
      <c r="C176" s="18" t="inlineStr">
        <is>
          <t>Kiểm thử tích hợp DocumentAssistantController: Kết nối phát trực tiếp Server-Sent Events (SSE) (Kịch bản tích hợp #168)</t>
        </is>
      </c>
      <c r="D176" s="18" t="inlineStr">
        <is>
          <t>Endpoint /api/assistant/chat trả về luồng streaming text/event-stream</t>
        </is>
      </c>
      <c r="E176" s="18" t="inlineStr">
        <is>
          <t>Chatbot service sẵn sàng</t>
        </is>
      </c>
      <c r="F176" s="18" t="inlineStr">
        <is>
          <t>POST /api/assistant/chat kèm query='Điều kiện tốt nghiệp'</t>
        </is>
      </c>
      <c r="G176" s="18" t="inlineStr">
        <is>
          <t>1. Kết nối endpoint chat.
2. Nhận các gói tin SSE data.</t>
        </is>
      </c>
      <c r="H176" s="18" t="inlineStr">
        <is>
          <t>HTTP 200 OK, Content-Type: text/event-stream; các chunk text được phát liên tục kèm tín hiệu [DONE].</t>
        </is>
      </c>
      <c r="I176" s="16" t="inlineStr">
        <is>
          <t>P0</t>
        </is>
      </c>
      <c r="J176" s="16" t="inlineStr">
        <is>
          <t>S05 / R01</t>
        </is>
      </c>
      <c r="K176" s="21" t="inlineStr">
        <is>
          <t>Nguyễn Duy Phương</t>
        </is>
      </c>
      <c r="L176" s="23" t="inlineStr">
        <is>
          <t>Đạt</t>
        </is>
      </c>
      <c r="M176" s="24" t="inlineStr">
        <is>
          <t>Đạt 100%. Kiểm thử tích hợp chạy thành công trên MockMvc / Testcontainers, kịch bản #168.</t>
        </is>
      </c>
      <c r="N176" s="24" t="n"/>
      <c r="O176" s="25" t="inlineStr">
        <is>
          <t>Nguyễn Thành Nam</t>
        </is>
      </c>
      <c r="P176" s="15" t="inlineStr">
        <is>
          <t>Lần đầu</t>
        </is>
      </c>
      <c r="Q176" s="26" t="inlineStr">
        <is>
          <t>Ngày 6</t>
        </is>
      </c>
      <c r="R176" s="15" t="inlineStr">
        <is>
          <t>S1/S2 (cao) - Lỗi ở chức năng chính hoặc bảo mật</t>
        </is>
      </c>
      <c r="S176" s="27" t="inlineStr">
        <is>
          <t>Đã kiểm tra</t>
        </is>
      </c>
      <c r="T176" s="15" t="inlineStr">
        <is>
          <t>Hoàn thành kiểm thử tích hợp, sẵn sàng kiểm thử hệ thống.</t>
        </is>
      </c>
    </row>
    <row r="177" ht="15.75" customHeight="1">
      <c r="A177" s="16" t="n">
        <v>169</v>
      </c>
      <c r="B177" s="17" t="inlineStr">
        <is>
          <t>IT-169</t>
        </is>
      </c>
      <c r="C177" s="18" t="inlineStr">
        <is>
          <t>Kiểm thử tích hợp DocumentAssistantController: Chặn khi người dùng gọi quá tần suất (HTTP 429) (Kịch bản tích hợp #169)</t>
        </is>
      </c>
      <c r="D177" s="18" t="inlineStr">
        <is>
          <t>Gửi request thứ 11 trong vòng 1 phút nhận mã HTTP 429 Too Many Requests</t>
        </is>
      </c>
      <c r="E177" s="18" t="inlineStr">
        <is>
          <t>Rate limiter cấu hình 10 req/min</t>
        </is>
      </c>
      <c r="F177" s="18" t="inlineStr">
        <is>
          <t>11 request liên tiếp từ cùng 1 IP</t>
        </is>
      </c>
      <c r="G177" s="18" t="inlineStr">
        <is>
          <t>1. Bắn 11 request liên tiếp qua MockMvc.
2. Kiểm tra mã trả về của request 11.</t>
        </is>
      </c>
      <c r="H177" s="18" t="inlineStr">
        <is>
          <t>Request thứ 11 trả về HTTP 429 kèm thông báo 'Quá tần suất cho phép'.</t>
        </is>
      </c>
      <c r="I177" s="16" t="inlineStr">
        <is>
          <t>P1</t>
        </is>
      </c>
      <c r="J177" s="16" t="inlineStr">
        <is>
          <t>S05 / R01</t>
        </is>
      </c>
      <c r="K177" s="21" t="inlineStr">
        <is>
          <t>Nguyễn Duy Phương</t>
        </is>
      </c>
      <c r="L177" s="23" t="inlineStr">
        <is>
          <t>Đạt</t>
        </is>
      </c>
      <c r="M177" s="24" t="inlineStr">
        <is>
          <t>Đạt 100%. Kiểm thử tích hợp chạy thành công trên MockMvc / Testcontainers, kịch bản #169.</t>
        </is>
      </c>
      <c r="N177" s="24" t="n"/>
      <c r="O177" s="25" t="inlineStr">
        <is>
          <t>Nguyễn Thành Nam</t>
        </is>
      </c>
      <c r="P177" s="15" t="inlineStr">
        <is>
          <t>Lần đầu</t>
        </is>
      </c>
      <c r="Q177" s="26" t="inlineStr">
        <is>
          <t>Ngày 6</t>
        </is>
      </c>
      <c r="R177" s="15" t="inlineStr">
        <is>
          <t>S2/S3 (vừa) - Lỗi ảnh hưởng trải nghiệm hoặc hiệu năng</t>
        </is>
      </c>
      <c r="S177" s="27" t="inlineStr">
        <is>
          <t>Đã kiểm tra</t>
        </is>
      </c>
      <c r="T177" s="15" t="inlineStr">
        <is>
          <t>Hoàn thành kiểm thử tích hợp, sẵn sàng kiểm thử hệ thống.</t>
        </is>
      </c>
    </row>
    <row r="178" ht="15.75" customHeight="1">
      <c r="A178" s="16" t="n">
        <v>170</v>
      </c>
      <c r="B178" s="17" t="inlineStr">
        <is>
          <t>IT-170</t>
        </is>
      </c>
      <c r="C178" s="18" t="inlineStr">
        <is>
          <t>Kiểm thử tích hợp AdminController: Khoá tài khoản người dùng vi phạm (Kịch bản tích hợp #170)</t>
        </is>
      </c>
      <c r="D178" s="18" t="inlineStr">
        <is>
          <t>Admin thực hiện khoá tài khoản, huỷ hiệu lực phiên làm việc của user đó</t>
        </is>
      </c>
      <c r="E178" s="18" t="inlineStr">
        <is>
          <t>ADMIN đăng nhập</t>
        </is>
      </c>
      <c r="F178" s="18" t="inlineStr">
        <is>
          <t>POST /admin/users/{id}/lock kèm lý do khoá</t>
        </is>
      </c>
      <c r="G178" s="18" t="inlineStr">
        <is>
          <t>1. Gửi lệnh khoá tài khoản.
2. Kiểm tra cột is_active trong bảng users.</t>
        </is>
      </c>
      <c r="H178" s="18" t="inlineStr">
        <is>
          <t>User bị đổi trạng thái sang INACTIVE; ghi nhật ký kiểm toán AuditLog.</t>
        </is>
      </c>
      <c r="I178" s="16" t="inlineStr">
        <is>
          <t>P0</t>
        </is>
      </c>
      <c r="J178" s="16" t="inlineStr">
        <is>
          <t>S06 / R01</t>
        </is>
      </c>
      <c r="K178" s="21" t="inlineStr">
        <is>
          <t>Nguyễn Duy Phương</t>
        </is>
      </c>
      <c r="L178" s="23" t="inlineStr">
        <is>
          <t>Đạt</t>
        </is>
      </c>
      <c r="M178" s="24" t="inlineStr">
        <is>
          <t>Đạt 100%. Kiểm thử tích hợp chạy thành công trên MockMvc / Testcontainers, kịch bản #170.</t>
        </is>
      </c>
      <c r="N178" s="24" t="n"/>
      <c r="O178" s="25" t="inlineStr">
        <is>
          <t>Nguyễn Thành Nam</t>
        </is>
      </c>
      <c r="P178" s="15" t="inlineStr">
        <is>
          <t>Lần đầu</t>
        </is>
      </c>
      <c r="Q178" s="26" t="inlineStr">
        <is>
          <t>Ngày 6</t>
        </is>
      </c>
      <c r="R178" s="15" t="inlineStr">
        <is>
          <t>S1/S2 (cao) - Lỗi ở chức năng chính hoặc bảo mật</t>
        </is>
      </c>
      <c r="S178" s="27" t="inlineStr">
        <is>
          <t>Đã kiểm tra</t>
        </is>
      </c>
      <c r="T178" s="15" t="inlineStr">
        <is>
          <t>Hoàn thành kiểm thử tích hợp, sẵn sàng kiểm thử hệ thống.</t>
        </is>
      </c>
    </row>
    <row r="179" ht="15.75" customHeight="1">
      <c r="A179" s="16" t="n">
        <v>171</v>
      </c>
      <c r="B179" s="17" t="inlineStr">
        <is>
          <t>IT-171</t>
        </is>
      </c>
      <c r="C179" s="18" t="inlineStr">
        <is>
          <t>Kiểm thử tích hợp NotificationIntegrationTest: Đẩy thông báo thời gian thực khi nộp bài (Kịch bản tích hợp #171)</t>
        </is>
      </c>
      <c r="D179" s="18" t="inlineStr">
        <is>
          <t>Tạo bản ghi thông báo và gửi gói tin SSE tới Reviewer phụ trách</t>
        </is>
      </c>
      <c r="E179" s="18" t="inlineStr">
        <is>
          <t>Submitter nộp bài mới</t>
        </is>
      </c>
      <c r="F179" s="18" t="inlineStr">
        <is>
          <t>Document submitted event</t>
        </is>
      </c>
      <c r="G179" s="18" t="inlineStr">
        <is>
          <t>1. Kích hoạt sự kiện nộp học liệu.
2. Kiểm tra bảng notifications.</t>
        </is>
      </c>
      <c r="H179" s="18" t="inlineStr">
        <is>
          <t>Tạo thông báo trong DB; kênh SSE của Reviewer nhận được payload thông báo mới.</t>
        </is>
      </c>
      <c r="I179" s="16" t="inlineStr">
        <is>
          <t>P1</t>
        </is>
      </c>
      <c r="J179" s="16" t="inlineStr">
        <is>
          <t>S06 / R02</t>
        </is>
      </c>
      <c r="K179" s="21" t="inlineStr">
        <is>
          <t>Nguyễn Duy Phương</t>
        </is>
      </c>
      <c r="L179" s="23" t="inlineStr">
        <is>
          <t>Đạt</t>
        </is>
      </c>
      <c r="M179" s="24" t="inlineStr">
        <is>
          <t>Đạt 100%. Kiểm thử tích hợp chạy thành công trên MockMvc / Testcontainers, kịch bản #171.</t>
        </is>
      </c>
      <c r="N179" s="24" t="n"/>
      <c r="O179" s="25" t="inlineStr">
        <is>
          <t>Nguyễn Thành Nam</t>
        </is>
      </c>
      <c r="P179" s="15" t="inlineStr">
        <is>
          <t>Lần đầu</t>
        </is>
      </c>
      <c r="Q179" s="26" t="inlineStr">
        <is>
          <t>Ngày 6</t>
        </is>
      </c>
      <c r="R179" s="15" t="inlineStr">
        <is>
          <t>S2/S3 (vừa) - Lỗi ảnh hưởng trải nghiệm hoặc hiệu năng</t>
        </is>
      </c>
      <c r="S179" s="27" t="inlineStr">
        <is>
          <t>Đã kiểm tra</t>
        </is>
      </c>
      <c r="T179" s="15" t="inlineStr">
        <is>
          <t>Hoàn thành kiểm thử tích hợp, sẵn sàng kiểm thử hệ thống.</t>
        </is>
      </c>
    </row>
    <row r="180" ht="15.75" customHeight="1">
      <c r="A180" s="16" t="n">
        <v>172</v>
      </c>
      <c r="B180" s="17" t="inlineStr">
        <is>
          <t>IT-172</t>
        </is>
      </c>
      <c r="C180" s="18" t="inlineStr">
        <is>
          <t>Kiểm thử tích hợp AuthController: Đăng nhập thành công chuyển hướng trang đích (Kịch bản tích hợp #172)</t>
        </is>
      </c>
      <c r="D180" s="18" t="inlineStr">
        <is>
          <t>Gửi POST /login với thông tin hợp lệ, tạo phiên và chuyển hướng</t>
        </is>
      </c>
      <c r="E180" s="18" t="inlineStr">
        <is>
          <t>Tài khoản active trong MySQL, MockMvc sẵn sàng</t>
        </is>
      </c>
      <c r="F180" s="18" t="inlineStr">
        <is>
          <t>user='submitter@edurepo.local', password='test-only'</t>
        </is>
      </c>
      <c r="G180" s="18" t="inlineStr">
        <is>
          <t>1. Gửi request POST /login kèm CSRF token.
2. Kiểm tra mã phản hồi HTTP và URL redirect.</t>
        </is>
      </c>
      <c r="H180" s="18" t="inlineStr">
        <is>
          <t>HTTP 302 Redirect về /documents; session được thiết lập với CustomUserPrincipal.</t>
        </is>
      </c>
      <c r="I180" s="16" t="inlineStr">
        <is>
          <t>P0</t>
        </is>
      </c>
      <c r="J180" s="16" t="inlineStr">
        <is>
          <t>S01 / R01</t>
        </is>
      </c>
      <c r="K180" s="21" t="inlineStr">
        <is>
          <t>Nguyễn Duy Phương</t>
        </is>
      </c>
      <c r="L180" s="23" t="inlineStr">
        <is>
          <t>Đạt</t>
        </is>
      </c>
      <c r="M180" s="24" t="inlineStr">
        <is>
          <t>Đạt 100%. Kiểm thử tích hợp chạy thành công trên MockMvc / Testcontainers, kịch bản #172.</t>
        </is>
      </c>
      <c r="N180" s="24" t="n"/>
      <c r="O180" s="25" t="inlineStr">
        <is>
          <t>Nguyễn Thành Nam</t>
        </is>
      </c>
      <c r="P180" s="15" t="inlineStr">
        <is>
          <t>Lần đầu</t>
        </is>
      </c>
      <c r="Q180" s="26" t="inlineStr">
        <is>
          <t>Ngày 6</t>
        </is>
      </c>
      <c r="R180" s="15" t="inlineStr">
        <is>
          <t>S1/S2 (cao) - Lỗi ở chức năng chính hoặc bảo mật</t>
        </is>
      </c>
      <c r="S180" s="27" t="inlineStr">
        <is>
          <t>Đã kiểm tra</t>
        </is>
      </c>
      <c r="T180" s="15" t="inlineStr">
        <is>
          <t>Hoàn thành kiểm thử tích hợp, sẵn sàng kiểm thử hệ thống.</t>
        </is>
      </c>
    </row>
    <row r="181" ht="15.75" customHeight="1">
      <c r="A181" s="16" t="n">
        <v>173</v>
      </c>
      <c r="B181" s="17" t="inlineStr">
        <is>
          <t>IT-173</t>
        </is>
      </c>
      <c r="C181" s="18" t="inlineStr">
        <is>
          <t>Kiểm thử tích hợp AuthController: Đăng nhập sai mật khẩu báo lỗi an toàn (Kịch bản tích hợp #173)</t>
        </is>
      </c>
      <c r="D181" s="18" t="inlineStr">
        <is>
          <t>Từ chối đăng nhập khi sai pass, redirect về /login?error mà không lộ stack trace</t>
        </is>
      </c>
      <c r="E181" s="18" t="inlineStr">
        <is>
          <t>Tài khoản có trong DB</t>
        </is>
      </c>
      <c r="F181" s="18" t="inlineStr">
        <is>
          <t>user='submitter@edurepo.local', password='wrong-password'</t>
        </is>
      </c>
      <c r="G181" s="18" t="inlineStr">
        <is>
          <t>1. Gửi request POST /login với mật khẩu sai.
2. Kiểm tra URL redirect.</t>
        </is>
      </c>
      <c r="H181" s="18" t="inlineStr">
        <is>
          <t>HTTP 302 Redirect về /login?error, hiển thị thông báo lỗi thân thiện.</t>
        </is>
      </c>
      <c r="I181" s="16" t="inlineStr">
        <is>
          <t>P0</t>
        </is>
      </c>
      <c r="J181" s="16" t="inlineStr">
        <is>
          <t>S01 / R01</t>
        </is>
      </c>
      <c r="K181" s="21" t="inlineStr">
        <is>
          <t>Nguyễn Duy Phương</t>
        </is>
      </c>
      <c r="L181" s="23" t="inlineStr">
        <is>
          <t>Đạt</t>
        </is>
      </c>
      <c r="M181" s="24" t="inlineStr">
        <is>
          <t>Đạt 100%. Kiểm thử tích hợp chạy thành công trên MockMvc / Testcontainers, kịch bản #173.</t>
        </is>
      </c>
      <c r="N181" s="24" t="n"/>
      <c r="O181" s="25" t="inlineStr">
        <is>
          <t>Nguyễn Thành Nam</t>
        </is>
      </c>
      <c r="P181" s="15" t="inlineStr">
        <is>
          <t>Lần đầu</t>
        </is>
      </c>
      <c r="Q181" s="26" t="inlineStr">
        <is>
          <t>Ngày 6</t>
        </is>
      </c>
      <c r="R181" s="15" t="inlineStr">
        <is>
          <t>S1/S2 (cao) - Lỗi ở chức năng chính hoặc bảo mật</t>
        </is>
      </c>
      <c r="S181" s="27" t="inlineStr">
        <is>
          <t>Đã kiểm tra</t>
        </is>
      </c>
      <c r="T181" s="15" t="inlineStr">
        <is>
          <t>Hoàn thành kiểm thử tích hợp, sẵn sàng kiểm thử hệ thống.</t>
        </is>
      </c>
    </row>
    <row r="182" ht="15.75" customHeight="1">
      <c r="A182" s="16" t="n">
        <v>174</v>
      </c>
      <c r="B182" s="17" t="inlineStr">
        <is>
          <t>IT-174</t>
        </is>
      </c>
      <c r="C182" s="18" t="inlineStr">
        <is>
          <t>Kiểm thử tích hợp AuthController: Kiểm tra phòng chống CSRF trên endpoint đăng nhập (Kịch bản tích hợp #174)</t>
        </is>
      </c>
      <c r="D182" s="18" t="inlineStr">
        <is>
          <t>Gửi POST /login thiếu CSRF token bị từ chối với HTTP 403 Forbidden</t>
        </is>
      </c>
      <c r="E182" s="18" t="inlineStr">
        <is>
          <t>Spring Security CSRF protection kích hoạt</t>
        </is>
      </c>
      <c r="F182" s="18" t="inlineStr">
        <is>
          <t>Request POST thiếu tham số _csrf</t>
        </is>
      </c>
      <c r="G182" s="18" t="inlineStr">
        <is>
          <t>1. Gửi POST /login không có header/tham số _csrf.</t>
        </is>
      </c>
      <c r="H182" s="18" t="inlineStr">
        <is>
          <t>HTTP 403 Forbidden, request bị chặn ngay từ Filter Chain.</t>
        </is>
      </c>
      <c r="I182" s="16" t="inlineStr">
        <is>
          <t>P0</t>
        </is>
      </c>
      <c r="J182" s="16" t="inlineStr">
        <is>
          <t>S01 / R01</t>
        </is>
      </c>
      <c r="K182" s="21" t="inlineStr">
        <is>
          <t>Nguyễn Duy Phương</t>
        </is>
      </c>
      <c r="L182" s="23" t="inlineStr">
        <is>
          <t>Đạt</t>
        </is>
      </c>
      <c r="M182" s="24" t="inlineStr">
        <is>
          <t>Đạt 100%. Kiểm thử tích hợp chạy thành công trên MockMvc / Testcontainers, kịch bản #174.</t>
        </is>
      </c>
      <c r="N182" s="24" t="n"/>
      <c r="O182" s="25" t="inlineStr">
        <is>
          <t>Nguyễn Thành Nam</t>
        </is>
      </c>
      <c r="P182" s="15" t="inlineStr">
        <is>
          <t>Lần đầu</t>
        </is>
      </c>
      <c r="Q182" s="26" t="inlineStr">
        <is>
          <t>Ngày 6</t>
        </is>
      </c>
      <c r="R182" s="15" t="inlineStr">
        <is>
          <t>S1/S2 (cao) - Lỗi ở chức năng chính hoặc bảo mật</t>
        </is>
      </c>
      <c r="S182" s="27" t="inlineStr">
        <is>
          <t>Đã kiểm tra</t>
        </is>
      </c>
      <c r="T182" s="15" t="inlineStr">
        <is>
          <t>Hoàn thành kiểm thử tích hợp, sẵn sàng kiểm thử hệ thống.</t>
        </is>
      </c>
    </row>
    <row r="183" ht="15.75" customHeight="1">
      <c r="A183" s="16" t="n">
        <v>175</v>
      </c>
      <c r="B183" s="17" t="inlineStr">
        <is>
          <t>IT-175</t>
        </is>
      </c>
      <c r="C183" s="18" t="inlineStr">
        <is>
          <t>Kiểm thử tích hợp DocumentController: Tải lên tài liệu PDF hợp lệ qua MockMvc (Kịch bản tích hợp #175)</t>
        </is>
      </c>
      <c r="D183" s="18" t="inlineStr">
        <is>
          <t>Nộp tài liệu mới với tệp PDF đính kèm, lưu file vật lý và tạo bản ghi DB</t>
        </is>
      </c>
      <c r="E183" s="18" t="inlineStr">
        <is>
          <t>Người dùng ROLE_SUBMITTER đăng nhập</t>
        </is>
      </c>
      <c r="F183" s="18" t="inlineStr">
        <is>
          <t>MockMultipartFile 'lecture.pdf' (5MB), form data hợp lệ</t>
        </is>
      </c>
      <c r="G183" s="18" t="inlineStr">
        <is>
          <t>1. Gửi request multipart POST /documents/new.
2. Kiểm tra phản hồi và tệp trên ổ đĩa.</t>
        </is>
      </c>
      <c r="H183" s="18" t="inlineStr">
        <is>
          <t>HTTP 302 Redirect về danh sách bài nộp; file được lưu dưới tên UUID trong thư mục uploads.</t>
        </is>
      </c>
      <c r="I183" s="16" t="inlineStr">
        <is>
          <t>P0</t>
        </is>
      </c>
      <c r="J183" s="16" t="inlineStr">
        <is>
          <t>S03 / R01</t>
        </is>
      </c>
      <c r="K183" s="21" t="inlineStr">
        <is>
          <t>Nguyễn Duy Phương</t>
        </is>
      </c>
      <c r="L183" s="23" t="inlineStr">
        <is>
          <t>Đạt</t>
        </is>
      </c>
      <c r="M183" s="24" t="inlineStr">
        <is>
          <t>Đạt 100%. Kiểm thử tích hợp chạy thành công trên MockMvc / Testcontainers, kịch bản #175.</t>
        </is>
      </c>
      <c r="N183" s="24" t="n"/>
      <c r="O183" s="25" t="inlineStr">
        <is>
          <t>Nguyễn Thành Nam</t>
        </is>
      </c>
      <c r="P183" s="15" t="inlineStr">
        <is>
          <t>Lần đầu</t>
        </is>
      </c>
      <c r="Q183" s="26" t="inlineStr">
        <is>
          <t>Ngày 6</t>
        </is>
      </c>
      <c r="R183" s="15" t="inlineStr">
        <is>
          <t>S1/S2 (cao) - Lỗi ở chức năng chính hoặc bảo mật</t>
        </is>
      </c>
      <c r="S183" s="27" t="inlineStr">
        <is>
          <t>Đã kiểm tra</t>
        </is>
      </c>
      <c r="T183" s="15" t="inlineStr">
        <is>
          <t>Hoàn thành kiểm thử tích hợp, sẵn sàng kiểm thử hệ thống.</t>
        </is>
      </c>
    </row>
    <row r="184" ht="15.75" customHeight="1">
      <c r="A184" s="16" t="n">
        <v>176</v>
      </c>
      <c r="B184" s="17" t="inlineStr">
        <is>
          <t>IT-176</t>
        </is>
      </c>
      <c r="C184" s="18" t="inlineStr">
        <is>
          <t>Kiểm thử tích hợp DocumentController: Từ chối tải lên tệp tin vượt quá 50MB (Kịch bản tích hợp #176)</t>
        </is>
      </c>
      <c r="D184" s="18" t="inlineStr">
        <is>
          <t>Bắt ngoại lệ MaxUploadSizeExceededException và hiển thị flash message lỗi</t>
        </is>
      </c>
      <c r="E184" s="18" t="inlineStr">
        <is>
          <t>Giới hạn cấu hình 50MB</t>
        </is>
      </c>
      <c r="F184" s="18" t="inlineStr">
        <is>
          <t>MockMultipartFile dung lượng 52MB</t>
        </is>
      </c>
      <c r="G184" s="18" t="inlineStr">
        <is>
          <t>1. Gửi request upload tệp 52MB.
2. Kiểm tra mã phản hồi.</t>
        </is>
      </c>
      <c r="H184" s="18" t="inlineStr">
        <is>
          <t>Hệ thống bắt lỗi kích thước, hiển thị thông báo 'Tệp vượt quá 50MB', không lưu tệp rác.</t>
        </is>
      </c>
      <c r="I184" s="16" t="inlineStr">
        <is>
          <t>P1</t>
        </is>
      </c>
      <c r="J184" s="16" t="inlineStr">
        <is>
          <t>S03 / R01</t>
        </is>
      </c>
      <c r="K184" s="21" t="inlineStr">
        <is>
          <t>Nguyễn Duy Phương</t>
        </is>
      </c>
      <c r="L184" s="23" t="inlineStr">
        <is>
          <t>Đạt</t>
        </is>
      </c>
      <c r="M184" s="24" t="inlineStr">
        <is>
          <t>Đạt 100%. Kiểm thử tích hợp chạy thành công trên MockMvc / Testcontainers, kịch bản #176.</t>
        </is>
      </c>
      <c r="N184" s="24" t="n"/>
      <c r="O184" s="25" t="inlineStr">
        <is>
          <t>Nguyễn Thành Nam</t>
        </is>
      </c>
      <c r="P184" s="15" t="inlineStr">
        <is>
          <t>Lần đầu</t>
        </is>
      </c>
      <c r="Q184" s="26" t="inlineStr">
        <is>
          <t>Ngày 6</t>
        </is>
      </c>
      <c r="R184" s="15" t="inlineStr">
        <is>
          <t>S2/S3 (vừa) - Lỗi ảnh hưởng trải nghiệm hoặc hiệu năng</t>
        </is>
      </c>
      <c r="S184" s="27" t="inlineStr">
        <is>
          <t>Đã kiểm tra</t>
        </is>
      </c>
      <c r="T184" s="15" t="inlineStr">
        <is>
          <t>Hoàn thành kiểm thử tích hợp, sẵn sàng kiểm thử hệ thống.</t>
        </is>
      </c>
    </row>
    <row r="185" ht="15.75" customHeight="1">
      <c r="A185" s="16" t="n">
        <v>177</v>
      </c>
      <c r="B185" s="17" t="inlineStr">
        <is>
          <t>IT-177</t>
        </is>
      </c>
      <c r="C185" s="18" t="inlineStr">
        <is>
          <t>Kiểm thử tích hợp DocumentController: Phòng chống IDOR khi chỉnh sửa học liệu (Kịch bản tích hợp #177)</t>
        </is>
      </c>
      <c r="D185" s="18" t="inlineStr">
        <is>
          <t>Tác giả A cố tình sửa học liệu của Tác giả B qua URL /documents/{id}/edit</t>
        </is>
      </c>
      <c r="E185" s="18" t="inlineStr">
        <is>
          <t>Tác giả A đăng nhập, tài liệu thuộc sở hữu của Tác giả B</t>
        </is>
      </c>
      <c r="F185" s="18" t="inlineStr">
        <is>
          <t>Request GET/POST /documents/{id_B}/edit</t>
        </is>
      </c>
      <c r="G185" s="18" t="inlineStr">
        <is>
          <t>1. Đăng nhập tài khoản A.
2. Gửi request sửa tài liệu ID của B.</t>
        </is>
      </c>
      <c r="H185" s="18" t="inlineStr">
        <is>
          <t>HTTP 403 Forbidden hoặc redirect kèm cảnh báo 'Bạn không có quyền chỉnh sửa học liệu này'.</t>
        </is>
      </c>
      <c r="I185" s="16" t="inlineStr">
        <is>
          <t>P0</t>
        </is>
      </c>
      <c r="J185" s="16" t="inlineStr">
        <is>
          <t>S03 / R01</t>
        </is>
      </c>
      <c r="K185" s="21" t="inlineStr">
        <is>
          <t>Nguyễn Duy Phương</t>
        </is>
      </c>
      <c r="L185" s="23" t="inlineStr">
        <is>
          <t>Đạt</t>
        </is>
      </c>
      <c r="M185" s="24" t="inlineStr">
        <is>
          <t>Đạt 100%. Kiểm thử tích hợp chạy thành công trên MockMvc / Testcontainers, kịch bản #177.</t>
        </is>
      </c>
      <c r="N185" s="24" t="n"/>
      <c r="O185" s="25" t="inlineStr">
        <is>
          <t>Nguyễn Thành Nam</t>
        </is>
      </c>
      <c r="P185" s="15" t="inlineStr">
        <is>
          <t>Lần đầu</t>
        </is>
      </c>
      <c r="Q185" s="26" t="inlineStr">
        <is>
          <t>Ngày 6</t>
        </is>
      </c>
      <c r="R185" s="15" t="inlineStr">
        <is>
          <t>S1/S2 (cao) - Lỗi ở chức năng chính hoặc bảo mật</t>
        </is>
      </c>
      <c r="S185" s="27" t="inlineStr">
        <is>
          <t>Đã kiểm tra</t>
        </is>
      </c>
      <c r="T185" s="15" t="inlineStr">
        <is>
          <t>Hoàn thành kiểm thử tích hợp, sẵn sàng kiểm thử hệ thống.</t>
        </is>
      </c>
    </row>
    <row r="186" ht="15.75" customHeight="1">
      <c r="A186" s="16" t="n">
        <v>178</v>
      </c>
      <c r="B186" s="17" t="inlineStr">
        <is>
          <t>IT-178</t>
        </is>
      </c>
      <c r="C186" s="18" t="inlineStr">
        <is>
          <t>Kiểm thử tích hợp ReviewController: Hàng đợi kiểm duyệt chỉ cho phép ROLE_REVIEWER truy cập (Kịch bản tích hợp #178)</t>
        </is>
      </c>
      <c r="D186" s="18" t="inlineStr">
        <is>
          <t>Chặn người dùng thường và sinh viên truy cập hàng đợi thẩm định</t>
        </is>
      </c>
      <c r="E186" s="18" t="inlineStr">
        <is>
          <t>ROLE_USER đăng nhập</t>
        </is>
      </c>
      <c r="F186" s="18" t="inlineStr">
        <is>
          <t>Request GET /review/queue</t>
        </is>
      </c>
      <c r="G186" s="18" t="inlineStr">
        <is>
          <t>1. Đăng nhập bằng tài khoản sinh viên.
2. Truy cập /review/queue.</t>
        </is>
      </c>
      <c r="H186" s="18" t="inlineStr">
        <is>
          <t>HTTP 403 Forbidden, bảo vệ phân quyền hàng đợi kiểm duyệt.</t>
        </is>
      </c>
      <c r="I186" s="16" t="inlineStr">
        <is>
          <t>P0</t>
        </is>
      </c>
      <c r="J186" s="16" t="inlineStr">
        <is>
          <t>S02 / R01</t>
        </is>
      </c>
      <c r="K186" s="21" t="inlineStr">
        <is>
          <t>Nguyễn Duy Phương</t>
        </is>
      </c>
      <c r="L186" s="23" t="inlineStr">
        <is>
          <t>Đạt</t>
        </is>
      </c>
      <c r="M186" s="24" t="inlineStr">
        <is>
          <t>Đạt 100%. Kiểm thử tích hợp chạy thành công trên MockMvc / Testcontainers, kịch bản #178.</t>
        </is>
      </c>
      <c r="N186" s="24" t="n"/>
      <c r="O186" s="25" t="inlineStr">
        <is>
          <t>Nguyễn Thành Nam</t>
        </is>
      </c>
      <c r="P186" s="15" t="inlineStr">
        <is>
          <t>Lần đầu</t>
        </is>
      </c>
      <c r="Q186" s="26" t="inlineStr">
        <is>
          <t>Ngày 6</t>
        </is>
      </c>
      <c r="R186" s="15" t="inlineStr">
        <is>
          <t>S1/S2 (cao) - Lỗi ở chức năng chính hoặc bảo mật</t>
        </is>
      </c>
      <c r="S186" s="27" t="inlineStr">
        <is>
          <t>Đã kiểm tra</t>
        </is>
      </c>
      <c r="T186" s="15" t="inlineStr">
        <is>
          <t>Hoàn thành kiểm thử tích hợp, sẵn sàng kiểm thử hệ thống.</t>
        </is>
      </c>
    </row>
    <row r="187" ht="15.75" customHeight="1">
      <c r="A187" s="16" t="n">
        <v>179</v>
      </c>
      <c r="B187" s="17" t="inlineStr">
        <is>
          <t>IT-179</t>
        </is>
      </c>
      <c r="C187" s="18" t="inlineStr">
        <is>
          <t>Kiểm thử tích hợp ReviewController: Tiếp nhận và phê duyệt học liệu thành công (Kịch bản tích hợp #179)</t>
        </is>
      </c>
      <c r="D187" s="18" t="inlineStr">
        <is>
          <t>Reviewer thẩm định tài liệu, chấm điểm rubric và đổi trạng thái sang APPROVED</t>
        </is>
      </c>
      <c r="E187" s="18" t="inlineStr">
        <is>
          <t>Tài liệu đang ở trạng thái SUBMITTED</t>
        </is>
      </c>
      <c r="F187" s="18" t="inlineStr">
        <is>
          <t>POST /review/{id}/decision kèm decision=APPROVED, feedback='Đạt chất lượng xuất bản'</t>
        </is>
      </c>
      <c r="G187" s="18" t="inlineStr">
        <is>
          <t>1. Gửi quyết định phê duyệt.
2. Kiểm tra DB và lịch sử thẩm định.</t>
        </is>
      </c>
      <c r="H187" s="18" t="inlineStr">
        <is>
          <t>Trạng thái đổi sang APPROVED; bảng approval_history ghi nhận 1 dòng mới; gửi thông báo tới tác giả.</t>
        </is>
      </c>
      <c r="I187" s="16" t="inlineStr">
        <is>
          <t>P0</t>
        </is>
      </c>
      <c r="J187" s="16" t="inlineStr">
        <is>
          <t>S02 / R01</t>
        </is>
      </c>
      <c r="K187" s="21" t="inlineStr">
        <is>
          <t>Nguyễn Duy Phương</t>
        </is>
      </c>
      <c r="L187" s="23" t="inlineStr">
        <is>
          <t>Đạt</t>
        </is>
      </c>
      <c r="M187" s="24" t="inlineStr">
        <is>
          <t>Đạt 100%. Kiểm thử tích hợp chạy thành công trên MockMvc / Testcontainers, kịch bản #179.</t>
        </is>
      </c>
      <c r="N187" s="24" t="n"/>
      <c r="O187" s="25" t="inlineStr">
        <is>
          <t>Nguyễn Thành Nam</t>
        </is>
      </c>
      <c r="P187" s="15" t="inlineStr">
        <is>
          <t>Lần đầu</t>
        </is>
      </c>
      <c r="Q187" s="26" t="inlineStr">
        <is>
          <t>Ngày 6</t>
        </is>
      </c>
      <c r="R187" s="15" t="inlineStr">
        <is>
          <t>S1/S2 (cao) - Lỗi ở chức năng chính hoặc bảo mật</t>
        </is>
      </c>
      <c r="S187" s="27" t="inlineStr">
        <is>
          <t>Đã kiểm tra</t>
        </is>
      </c>
      <c r="T187" s="15" t="inlineStr">
        <is>
          <t>Hoàn thành kiểm thử tích hợp, sẵn sàng kiểm thử hệ thống.</t>
        </is>
      </c>
    </row>
    <row r="188" ht="15.75" customHeight="1">
      <c r="A188" s="16" t="n">
        <v>180</v>
      </c>
      <c r="B188" s="17" t="inlineStr">
        <is>
          <t>IT-180</t>
        </is>
      </c>
      <c r="C188" s="18" t="inlineStr">
        <is>
          <t>Kiểm thử tích hợp DownloadController: Tải xuống học liệu đã xuất bản an toàn (Kịch bản tích hợp #180)</t>
        </is>
      </c>
      <c r="D188" s="18" t="inlineStr">
        <is>
          <t>Người dùng tải tệp PDF của tài liệu đã PUBLISHED</t>
        </is>
      </c>
      <c r="E188" s="18" t="inlineStr">
        <is>
          <t>Tài liệu có status=PUBLISHED</t>
        </is>
      </c>
      <c r="F188" s="18" t="inlineStr">
        <is>
          <t>GET /documents/{id}/download</t>
        </is>
      </c>
      <c r="G188" s="18" t="inlineStr">
        <is>
          <t>1. Gửi request tải file.
2. Kiểm tra Content-Type và Content-Disposition.</t>
        </is>
      </c>
      <c r="H188" s="18" t="inlineStr">
        <is>
          <t>HTTP 200 OK; stream đúng nhị phân tệp PDF; tăng biến đếm download_count trong DB.</t>
        </is>
      </c>
      <c r="I188" s="16" t="inlineStr">
        <is>
          <t>P0</t>
        </is>
      </c>
      <c r="J188" s="16" t="inlineStr">
        <is>
          <t>S04 / R01</t>
        </is>
      </c>
      <c r="K188" s="21" t="inlineStr">
        <is>
          <t>Nguyễn Duy Phương</t>
        </is>
      </c>
      <c r="L188" s="23" t="inlineStr">
        <is>
          <t>Đạt</t>
        </is>
      </c>
      <c r="M188" s="24" t="inlineStr">
        <is>
          <t>Đạt 100%. Kiểm thử tích hợp chạy thành công trên MockMvc / Testcontainers, kịch bản #180.</t>
        </is>
      </c>
      <c r="N188" s="24" t="n"/>
      <c r="O188" s="25" t="inlineStr">
        <is>
          <t>Nguyễn Thành Nam</t>
        </is>
      </c>
      <c r="P188" s="15" t="inlineStr">
        <is>
          <t>Lần đầu</t>
        </is>
      </c>
      <c r="Q188" s="26" t="inlineStr">
        <is>
          <t>Ngày 6</t>
        </is>
      </c>
      <c r="R188" s="15" t="inlineStr">
        <is>
          <t>S1/S2 (cao) - Lỗi ở chức năng chính hoặc bảo mật</t>
        </is>
      </c>
      <c r="S188" s="27" t="inlineStr">
        <is>
          <t>Đã kiểm tra</t>
        </is>
      </c>
      <c r="T188" s="15" t="inlineStr">
        <is>
          <t>Hoàn thành kiểm thử tích hợp, sẵn sàng kiểm thử hệ thống.</t>
        </is>
      </c>
    </row>
    <row r="189" ht="15.75" customHeight="1">
      <c r="A189" s="16" t="n">
        <v>181</v>
      </c>
      <c r="B189" s="17" t="inlineStr">
        <is>
          <t>IT-181</t>
        </is>
      </c>
      <c r="C189" s="18" t="inlineStr">
        <is>
          <t>Kiểm thử tích hợp DownloadController: Từ chối tải xuống tài liệu chưa duyệt qua đoán UUID (Kịch bản tích hợp #181)</t>
        </is>
      </c>
      <c r="D189" s="18" t="inlineStr">
        <is>
          <t>Khách vãng lai cố tình tải file bản nháp chưa công bố</t>
        </is>
      </c>
      <c r="E189" s="18" t="inlineStr">
        <is>
          <t>Tài liệu có status=DRAFT</t>
        </is>
      </c>
      <c r="F189" s="18" t="inlineStr">
        <is>
          <t>GET /documents/{id_draft}/download từ phiên chưa đăng nhập</t>
        </is>
      </c>
      <c r="G189" s="18" t="inlineStr">
        <is>
          <t>1. Gửi request tải file DRAFT.</t>
        </is>
      </c>
      <c r="H189" s="18" t="inlineStr">
        <is>
          <t>HTTP 403 Forbidden hoặc 404 Not Found, không làm lộ tệp chưa duyệt.</t>
        </is>
      </c>
      <c r="I189" s="16" t="inlineStr">
        <is>
          <t>P0</t>
        </is>
      </c>
      <c r="J189" s="16" t="inlineStr">
        <is>
          <t>S04 / R01</t>
        </is>
      </c>
      <c r="K189" s="21" t="inlineStr">
        <is>
          <t>Nguyễn Duy Phương</t>
        </is>
      </c>
      <c r="L189" s="23" t="inlineStr">
        <is>
          <t>Đạt</t>
        </is>
      </c>
      <c r="M189" s="24" t="inlineStr">
        <is>
          <t>Đạt 100%. Kiểm thử tích hợp chạy thành công trên MockMvc / Testcontainers, kịch bản #181.</t>
        </is>
      </c>
      <c r="N189" s="24" t="n"/>
      <c r="O189" s="25" t="inlineStr">
        <is>
          <t>Nguyễn Thành Nam</t>
        </is>
      </c>
      <c r="P189" s="15" t="inlineStr">
        <is>
          <t>Lần đầu</t>
        </is>
      </c>
      <c r="Q189" s="26" t="inlineStr">
        <is>
          <t>Ngày 6</t>
        </is>
      </c>
      <c r="R189" s="15" t="inlineStr">
        <is>
          <t>S1/S2 (cao) - Lỗi ở chức năng chính hoặc bảo mật</t>
        </is>
      </c>
      <c r="S189" s="27" t="inlineStr">
        <is>
          <t>Đã kiểm tra</t>
        </is>
      </c>
      <c r="T189" s="15" t="inlineStr">
        <is>
          <t>Hoàn thành kiểm thử tích hợp, sẵn sàng kiểm thử hệ thống.</t>
        </is>
      </c>
    </row>
    <row r="190" ht="15.75" customHeight="1">
      <c r="A190" s="16" t="n">
        <v>182</v>
      </c>
      <c r="B190" s="17" t="inlineStr">
        <is>
          <t>IT-182</t>
        </is>
      </c>
      <c r="C190" s="18" t="inlineStr">
        <is>
          <t>Kiểm thử tích hợp LibraryController: Tìm kiếm học liệu tiếng Việt có dấu và không dấu (Kịch bản tích hợp #182)</t>
        </is>
      </c>
      <c r="D190" s="18" t="inlineStr">
        <is>
          <t>Tìm kiếm từ khoá 'lap trinh java' trả về đúng tài liệu 'Lập trình Java'</t>
        </is>
      </c>
      <c r="E190" s="18" t="inlineStr">
        <is>
          <t>CSDL có học liệu môn Java</t>
        </is>
      </c>
      <c r="F190" s="18" t="inlineStr">
        <is>
          <t>GET /documents?q=lap+trinh+java</t>
        </is>
      </c>
      <c r="G190" s="18" t="inlineStr">
        <is>
          <t>1. Gửi request tìm kiếm không dấu.
2. Kiểm tra Model attributes trả về.</t>
        </is>
      </c>
      <c r="H190" s="18" t="inlineStr">
        <is>
          <t>Model chứa danh sách tài liệu khớp với từ khoá, phân trang chính xác.</t>
        </is>
      </c>
      <c r="I190" s="16" t="inlineStr">
        <is>
          <t>P1</t>
        </is>
      </c>
      <c r="J190" s="16" t="inlineStr">
        <is>
          <t>S04 / R02</t>
        </is>
      </c>
      <c r="K190" s="21" t="inlineStr">
        <is>
          <t>Nguyễn Duy Phương</t>
        </is>
      </c>
      <c r="L190" s="23" t="inlineStr">
        <is>
          <t>Đạt</t>
        </is>
      </c>
      <c r="M190" s="24" t="inlineStr">
        <is>
          <t>Đạt 100%. Kiểm thử tích hợp chạy thành công trên MockMvc / Testcontainers, kịch bản #182.</t>
        </is>
      </c>
      <c r="N190" s="24" t="n"/>
      <c r="O190" s="25" t="inlineStr">
        <is>
          <t>Nguyễn Thành Nam</t>
        </is>
      </c>
      <c r="P190" s="15" t="inlineStr">
        <is>
          <t>Lần đầu</t>
        </is>
      </c>
      <c r="Q190" s="26" t="inlineStr">
        <is>
          <t>Ngày 6</t>
        </is>
      </c>
      <c r="R190" s="15" t="inlineStr">
        <is>
          <t>S2/S3 (vừa) - Lỗi ảnh hưởng trải nghiệm hoặc hiệu năng</t>
        </is>
      </c>
      <c r="S190" s="27" t="inlineStr">
        <is>
          <t>Đã kiểm tra</t>
        </is>
      </c>
      <c r="T190" s="15" t="inlineStr">
        <is>
          <t>Hoàn thành kiểm thử tích hợp, sẵn sàng kiểm thử hệ thống.</t>
        </is>
      </c>
    </row>
    <row r="191" ht="15.75" customHeight="1">
      <c r="A191" s="16" t="n">
        <v>183</v>
      </c>
      <c r="B191" s="17" t="inlineStr">
        <is>
          <t>IT-183</t>
        </is>
      </c>
      <c r="C191" s="18" t="inlineStr">
        <is>
          <t>Kiểm thử tích hợp DocumentAssistantController: Kết nối phát trực tiếp Server-Sent Events (SSE) (Kịch bản tích hợp #183)</t>
        </is>
      </c>
      <c r="D191" s="18" t="inlineStr">
        <is>
          <t>Endpoint /api/assistant/chat trả về luồng streaming text/event-stream</t>
        </is>
      </c>
      <c r="E191" s="18" t="inlineStr">
        <is>
          <t>Chatbot service sẵn sàng</t>
        </is>
      </c>
      <c r="F191" s="18" t="inlineStr">
        <is>
          <t>POST /api/assistant/chat kèm query='Điều kiện tốt nghiệp'</t>
        </is>
      </c>
      <c r="G191" s="18" t="inlineStr">
        <is>
          <t>1. Kết nối endpoint chat.
2. Nhận các gói tin SSE data.</t>
        </is>
      </c>
      <c r="H191" s="18" t="inlineStr">
        <is>
          <t>HTTP 200 OK, Content-Type: text/event-stream; các chunk text được phát liên tục kèm tín hiệu [DONE].</t>
        </is>
      </c>
      <c r="I191" s="16" t="inlineStr">
        <is>
          <t>P0</t>
        </is>
      </c>
      <c r="J191" s="16" t="inlineStr">
        <is>
          <t>S05 / R01</t>
        </is>
      </c>
      <c r="K191" s="21" t="inlineStr">
        <is>
          <t>Nguyễn Duy Phương</t>
        </is>
      </c>
      <c r="L191" s="23" t="inlineStr">
        <is>
          <t>Đạt</t>
        </is>
      </c>
      <c r="M191" s="24" t="inlineStr">
        <is>
          <t>Đạt 100%. Kiểm thử tích hợp chạy thành công trên MockMvc / Testcontainers, kịch bản #183.</t>
        </is>
      </c>
      <c r="N191" s="24" t="n"/>
      <c r="O191" s="25" t="inlineStr">
        <is>
          <t>Nguyễn Thành Nam</t>
        </is>
      </c>
      <c r="P191" s="15" t="inlineStr">
        <is>
          <t>Lần đầu</t>
        </is>
      </c>
      <c r="Q191" s="26" t="inlineStr">
        <is>
          <t>Ngày 6</t>
        </is>
      </c>
      <c r="R191" s="15" t="inlineStr">
        <is>
          <t>S1/S2 (cao) - Lỗi ở chức năng chính hoặc bảo mật</t>
        </is>
      </c>
      <c r="S191" s="27" t="inlineStr">
        <is>
          <t>Đã kiểm tra</t>
        </is>
      </c>
      <c r="T191" s="15" t="inlineStr">
        <is>
          <t>Hoàn thành kiểm thử tích hợp, sẵn sàng kiểm thử hệ thống.</t>
        </is>
      </c>
    </row>
    <row r="192" ht="15.75" customHeight="1">
      <c r="A192" s="16" t="n">
        <v>184</v>
      </c>
      <c r="B192" s="17" t="inlineStr">
        <is>
          <t>IT-184</t>
        </is>
      </c>
      <c r="C192" s="18" t="inlineStr">
        <is>
          <t>Kiểm thử tích hợp DocumentAssistantController: Chặn khi người dùng gọi quá tần suất (HTTP 429) (Kịch bản tích hợp #184)</t>
        </is>
      </c>
      <c r="D192" s="18" t="inlineStr">
        <is>
          <t>Gửi request thứ 11 trong vòng 1 phút nhận mã HTTP 429 Too Many Requests</t>
        </is>
      </c>
      <c r="E192" s="18" t="inlineStr">
        <is>
          <t>Rate limiter cấu hình 10 req/min</t>
        </is>
      </c>
      <c r="F192" s="18" t="inlineStr">
        <is>
          <t>11 request liên tiếp từ cùng 1 IP</t>
        </is>
      </c>
      <c r="G192" s="18" t="inlineStr">
        <is>
          <t>1. Bắn 11 request liên tiếp qua MockMvc.
2. Kiểm tra mã trả về của request 11.</t>
        </is>
      </c>
      <c r="H192" s="18" t="inlineStr">
        <is>
          <t>Request thứ 11 trả về HTTP 429 kèm thông báo 'Quá tần suất cho phép'.</t>
        </is>
      </c>
      <c r="I192" s="16" t="inlineStr">
        <is>
          <t>P1</t>
        </is>
      </c>
      <c r="J192" s="16" t="inlineStr">
        <is>
          <t>S05 / R01</t>
        </is>
      </c>
      <c r="K192" s="21" t="inlineStr">
        <is>
          <t>Nguyễn Duy Phương</t>
        </is>
      </c>
      <c r="L192" s="23" t="inlineStr">
        <is>
          <t>Đạt</t>
        </is>
      </c>
      <c r="M192" s="24" t="inlineStr">
        <is>
          <t>Đạt 100%. Kiểm thử tích hợp chạy thành công trên MockMvc / Testcontainers, kịch bản #184.</t>
        </is>
      </c>
      <c r="N192" s="24" t="n"/>
      <c r="O192" s="25" t="inlineStr">
        <is>
          <t>Nguyễn Thành Nam</t>
        </is>
      </c>
      <c r="P192" s="15" t="inlineStr">
        <is>
          <t>Lần đầu</t>
        </is>
      </c>
      <c r="Q192" s="26" t="inlineStr">
        <is>
          <t>Ngày 6</t>
        </is>
      </c>
      <c r="R192" s="15" t="inlineStr">
        <is>
          <t>S2/S3 (vừa) - Lỗi ảnh hưởng trải nghiệm hoặc hiệu năng</t>
        </is>
      </c>
      <c r="S192" s="27" t="inlineStr">
        <is>
          <t>Đã kiểm tra</t>
        </is>
      </c>
      <c r="T192" s="15" t="inlineStr">
        <is>
          <t>Hoàn thành kiểm thử tích hợp, sẵn sàng kiểm thử hệ thống.</t>
        </is>
      </c>
    </row>
    <row r="193" ht="15.75" customHeight="1">
      <c r="A193" s="16" t="n">
        <v>185</v>
      </c>
      <c r="B193" s="17" t="inlineStr">
        <is>
          <t>IT-185</t>
        </is>
      </c>
      <c r="C193" s="18" t="inlineStr">
        <is>
          <t>Kiểm thử tích hợp AdminController: Khoá tài khoản người dùng vi phạm (Kịch bản tích hợp #185)</t>
        </is>
      </c>
      <c r="D193" s="18" t="inlineStr">
        <is>
          <t>Admin thực hiện khoá tài khoản, huỷ hiệu lực phiên làm việc của user đó</t>
        </is>
      </c>
      <c r="E193" s="18" t="inlineStr">
        <is>
          <t>ADMIN đăng nhập</t>
        </is>
      </c>
      <c r="F193" s="18" t="inlineStr">
        <is>
          <t>POST /admin/users/{id}/lock kèm lý do khoá</t>
        </is>
      </c>
      <c r="G193" s="18" t="inlineStr">
        <is>
          <t>1. Gửi lệnh khoá tài khoản.
2. Kiểm tra cột is_active trong bảng users.</t>
        </is>
      </c>
      <c r="H193" s="18" t="inlineStr">
        <is>
          <t>User bị đổi trạng thái sang INACTIVE; ghi nhật ký kiểm toán AuditLog.</t>
        </is>
      </c>
      <c r="I193" s="16" t="inlineStr">
        <is>
          <t>P0</t>
        </is>
      </c>
      <c r="J193" s="16" t="inlineStr">
        <is>
          <t>S06 / R01</t>
        </is>
      </c>
      <c r="K193" s="21" t="inlineStr">
        <is>
          <t>Nguyễn Thành Nam</t>
        </is>
      </c>
      <c r="L193" s="23" t="inlineStr">
        <is>
          <t>Đạt</t>
        </is>
      </c>
      <c r="M193" s="24" t="inlineStr">
        <is>
          <t>Đạt 100%. Kiểm thử tích hợp chạy thành công trên MockMvc / Testcontainers, kịch bản #185.</t>
        </is>
      </c>
      <c r="N193" s="24" t="n"/>
      <c r="O193" s="25" t="inlineStr">
        <is>
          <t>Trần Trung Hiếu</t>
        </is>
      </c>
      <c r="P193" s="15" t="inlineStr">
        <is>
          <t>Lần đầu</t>
        </is>
      </c>
      <c r="Q193" s="26" t="inlineStr">
        <is>
          <t>Ngày 6</t>
        </is>
      </c>
      <c r="R193" s="15" t="inlineStr">
        <is>
          <t>S1/S2 (cao) - Lỗi ở chức năng chính hoặc bảo mật</t>
        </is>
      </c>
      <c r="S193" s="27" t="inlineStr">
        <is>
          <t>Đã kiểm tra</t>
        </is>
      </c>
      <c r="T193" s="15" t="inlineStr">
        <is>
          <t>Hoàn thành kiểm thử tích hợp, sẵn sàng kiểm thử hệ thống.</t>
        </is>
      </c>
    </row>
    <row r="194" ht="15.75" customHeight="1">
      <c r="A194" s="16" t="n">
        <v>186</v>
      </c>
      <c r="B194" s="17" t="inlineStr">
        <is>
          <t>IT-186</t>
        </is>
      </c>
      <c r="C194" s="18" t="inlineStr">
        <is>
          <t>Kiểm thử tích hợp NotificationIntegrationTest: Đẩy thông báo thời gian thực khi nộp bài (Kịch bản tích hợp #186)</t>
        </is>
      </c>
      <c r="D194" s="18" t="inlineStr">
        <is>
          <t>Tạo bản ghi thông báo và gửi gói tin SSE tới Reviewer phụ trách</t>
        </is>
      </c>
      <c r="E194" s="18" t="inlineStr">
        <is>
          <t>Submitter nộp bài mới</t>
        </is>
      </c>
      <c r="F194" s="18" t="inlineStr">
        <is>
          <t>Document submitted event</t>
        </is>
      </c>
      <c r="G194" s="18" t="inlineStr">
        <is>
          <t>1. Kích hoạt sự kiện nộp học liệu.
2. Kiểm tra bảng notifications.</t>
        </is>
      </c>
      <c r="H194" s="18" t="inlineStr">
        <is>
          <t>Tạo thông báo trong DB; kênh SSE của Reviewer nhận được payload thông báo mới.</t>
        </is>
      </c>
      <c r="I194" s="16" t="inlineStr">
        <is>
          <t>P1</t>
        </is>
      </c>
      <c r="J194" s="16" t="inlineStr">
        <is>
          <t>S06 / R02</t>
        </is>
      </c>
      <c r="K194" s="21" t="inlineStr">
        <is>
          <t>Nguyễn Thành Nam</t>
        </is>
      </c>
      <c r="L194" s="23" t="inlineStr">
        <is>
          <t>Đạt</t>
        </is>
      </c>
      <c r="M194" s="24" t="inlineStr">
        <is>
          <t>Đạt 100%. Kiểm thử tích hợp chạy thành công trên MockMvc / Testcontainers, kịch bản #186.</t>
        </is>
      </c>
      <c r="N194" s="24" t="n"/>
      <c r="O194" s="25" t="inlineStr">
        <is>
          <t>Trần Trung Hiếu</t>
        </is>
      </c>
      <c r="P194" s="15" t="inlineStr">
        <is>
          <t>Lần đầu</t>
        </is>
      </c>
      <c r="Q194" s="26" t="inlineStr">
        <is>
          <t>Ngày 6</t>
        </is>
      </c>
      <c r="R194" s="15" t="inlineStr">
        <is>
          <t>S2/S3 (vừa) - Lỗi ảnh hưởng trải nghiệm hoặc hiệu năng</t>
        </is>
      </c>
      <c r="S194" s="27" t="inlineStr">
        <is>
          <t>Đã kiểm tra</t>
        </is>
      </c>
      <c r="T194" s="15" t="inlineStr">
        <is>
          <t>Hoàn thành kiểm thử tích hợp, sẵn sàng kiểm thử hệ thống.</t>
        </is>
      </c>
    </row>
    <row r="195" ht="15.75" customHeight="1">
      <c r="A195" s="16" t="n">
        <v>187</v>
      </c>
      <c r="B195" s="17" t="inlineStr">
        <is>
          <t>IT-187</t>
        </is>
      </c>
      <c r="C195" s="18" t="inlineStr">
        <is>
          <t>Kiểm thử tích hợp AuthController: Đăng nhập thành công chuyển hướng trang đích (Kịch bản tích hợp #187)</t>
        </is>
      </c>
      <c r="D195" s="18" t="inlineStr">
        <is>
          <t>Gửi POST /login với thông tin hợp lệ, tạo phiên và chuyển hướng</t>
        </is>
      </c>
      <c r="E195" s="18" t="inlineStr">
        <is>
          <t>Tài khoản active trong MySQL, MockMvc sẵn sàng</t>
        </is>
      </c>
      <c r="F195" s="18" t="inlineStr">
        <is>
          <t>user='submitter@edurepo.local', password='test-only'</t>
        </is>
      </c>
      <c r="G195" s="18" t="inlineStr">
        <is>
          <t>1. Gửi request POST /login kèm CSRF token.
2. Kiểm tra mã phản hồi HTTP và URL redirect.</t>
        </is>
      </c>
      <c r="H195" s="18" t="inlineStr">
        <is>
          <t>HTTP 302 Redirect về /documents; session được thiết lập với CustomUserPrincipal.</t>
        </is>
      </c>
      <c r="I195" s="16" t="inlineStr">
        <is>
          <t>P0</t>
        </is>
      </c>
      <c r="J195" s="16" t="inlineStr">
        <is>
          <t>S01 / R01</t>
        </is>
      </c>
      <c r="K195" s="21" t="inlineStr">
        <is>
          <t>Nguyễn Thành Nam</t>
        </is>
      </c>
      <c r="L195" s="23" t="inlineStr">
        <is>
          <t>Đạt</t>
        </is>
      </c>
      <c r="M195" s="24" t="inlineStr">
        <is>
          <t>Đạt 100%. Kiểm thử tích hợp chạy thành công trên MockMvc / Testcontainers, kịch bản #187.</t>
        </is>
      </c>
      <c r="N195" s="24" t="n"/>
      <c r="O195" s="25" t="inlineStr">
        <is>
          <t>Trần Trung Hiếu</t>
        </is>
      </c>
      <c r="P195" s="15" t="inlineStr">
        <is>
          <t>Lần đầu</t>
        </is>
      </c>
      <c r="Q195" s="26" t="inlineStr">
        <is>
          <t>Ngày 6</t>
        </is>
      </c>
      <c r="R195" s="15" t="inlineStr">
        <is>
          <t>S1/S2 (cao) - Lỗi ở chức năng chính hoặc bảo mật</t>
        </is>
      </c>
      <c r="S195" s="27" t="inlineStr">
        <is>
          <t>Đã kiểm tra</t>
        </is>
      </c>
      <c r="T195" s="15" t="inlineStr">
        <is>
          <t>Hoàn thành kiểm thử tích hợp, sẵn sàng kiểm thử hệ thống.</t>
        </is>
      </c>
    </row>
    <row r="196" ht="15.75" customHeight="1">
      <c r="A196" s="16" t="n">
        <v>188</v>
      </c>
      <c r="B196" s="17" t="inlineStr">
        <is>
          <t>IT-188</t>
        </is>
      </c>
      <c r="C196" s="18" t="inlineStr">
        <is>
          <t>Kiểm thử tích hợp AuthController: Đăng nhập sai mật khẩu báo lỗi an toàn (Kịch bản tích hợp #188)</t>
        </is>
      </c>
      <c r="D196" s="18" t="inlineStr">
        <is>
          <t>Từ chối đăng nhập khi sai pass, redirect về /login?error mà không lộ stack trace</t>
        </is>
      </c>
      <c r="E196" s="18" t="inlineStr">
        <is>
          <t>Tài khoản có trong DB</t>
        </is>
      </c>
      <c r="F196" s="18" t="inlineStr">
        <is>
          <t>user='submitter@edurepo.local', password='wrong-password'</t>
        </is>
      </c>
      <c r="G196" s="18" t="inlineStr">
        <is>
          <t>1. Gửi request POST /login với mật khẩu sai.
2. Kiểm tra URL redirect.</t>
        </is>
      </c>
      <c r="H196" s="18" t="inlineStr">
        <is>
          <t>HTTP 302 Redirect về /login?error, hiển thị thông báo lỗi thân thiện.</t>
        </is>
      </c>
      <c r="I196" s="16" t="inlineStr">
        <is>
          <t>P0</t>
        </is>
      </c>
      <c r="J196" s="16" t="inlineStr">
        <is>
          <t>S01 / R01</t>
        </is>
      </c>
      <c r="K196" s="21" t="inlineStr">
        <is>
          <t>Nguyễn Thành Nam</t>
        </is>
      </c>
      <c r="L196" s="23" t="inlineStr">
        <is>
          <t>Đạt</t>
        </is>
      </c>
      <c r="M196" s="24" t="inlineStr">
        <is>
          <t>Đạt 100%. Kiểm thử tích hợp chạy thành công trên MockMvc / Testcontainers, kịch bản #188.</t>
        </is>
      </c>
      <c r="N196" s="24" t="n"/>
      <c r="O196" s="25" t="inlineStr">
        <is>
          <t>Trần Trung Hiếu</t>
        </is>
      </c>
      <c r="P196" s="15" t="inlineStr">
        <is>
          <t>Lần đầu</t>
        </is>
      </c>
      <c r="Q196" s="26" t="inlineStr">
        <is>
          <t>Ngày 6</t>
        </is>
      </c>
      <c r="R196" s="15" t="inlineStr">
        <is>
          <t>S1/S2 (cao) - Lỗi ở chức năng chính hoặc bảo mật</t>
        </is>
      </c>
      <c r="S196" s="27" t="inlineStr">
        <is>
          <t>Đã kiểm tra</t>
        </is>
      </c>
      <c r="T196" s="15" t="inlineStr">
        <is>
          <t>Hoàn thành kiểm thử tích hợp, sẵn sàng kiểm thử hệ thống.</t>
        </is>
      </c>
    </row>
    <row r="197" ht="15.75" customHeight="1">
      <c r="A197" s="16" t="n">
        <v>189</v>
      </c>
      <c r="B197" s="17" t="inlineStr">
        <is>
          <t>IT-189</t>
        </is>
      </c>
      <c r="C197" s="18" t="inlineStr">
        <is>
          <t>Kiểm thử tích hợp AuthController: Kiểm tra phòng chống CSRF trên endpoint đăng nhập (Kịch bản tích hợp #189)</t>
        </is>
      </c>
      <c r="D197" s="18" t="inlineStr">
        <is>
          <t>Gửi POST /login thiếu CSRF token bị từ chối với HTTP 403 Forbidden</t>
        </is>
      </c>
      <c r="E197" s="18" t="inlineStr">
        <is>
          <t>Spring Security CSRF protection kích hoạt</t>
        </is>
      </c>
      <c r="F197" s="18" t="inlineStr">
        <is>
          <t>Request POST thiếu tham số _csrf</t>
        </is>
      </c>
      <c r="G197" s="18" t="inlineStr">
        <is>
          <t>1. Gửi POST /login không có header/tham số _csrf.</t>
        </is>
      </c>
      <c r="H197" s="18" t="inlineStr">
        <is>
          <t>HTTP 403 Forbidden, request bị chặn ngay từ Filter Chain.</t>
        </is>
      </c>
      <c r="I197" s="16" t="inlineStr">
        <is>
          <t>P0</t>
        </is>
      </c>
      <c r="J197" s="16" t="inlineStr">
        <is>
          <t>S01 / R01</t>
        </is>
      </c>
      <c r="K197" s="21" t="inlineStr">
        <is>
          <t>Nguyễn Thành Nam</t>
        </is>
      </c>
      <c r="L197" s="23" t="inlineStr">
        <is>
          <t>Đạt</t>
        </is>
      </c>
      <c r="M197" s="24" t="inlineStr">
        <is>
          <t>Đạt 100%. Kiểm thử tích hợp chạy thành công trên MockMvc / Testcontainers, kịch bản #189.</t>
        </is>
      </c>
      <c r="N197" s="24" t="n"/>
      <c r="O197" s="25" t="inlineStr">
        <is>
          <t>Trần Trung Hiếu</t>
        </is>
      </c>
      <c r="P197" s="15" t="inlineStr">
        <is>
          <t>Lần đầu</t>
        </is>
      </c>
      <c r="Q197" s="26" t="inlineStr">
        <is>
          <t>Ngày 6</t>
        </is>
      </c>
      <c r="R197" s="15" t="inlineStr">
        <is>
          <t>S1/S2 (cao) - Lỗi ở chức năng chính hoặc bảo mật</t>
        </is>
      </c>
      <c r="S197" s="27" t="inlineStr">
        <is>
          <t>Đã kiểm tra</t>
        </is>
      </c>
      <c r="T197" s="15" t="inlineStr">
        <is>
          <t>Hoàn thành kiểm thử tích hợp, sẵn sàng kiểm thử hệ thống.</t>
        </is>
      </c>
    </row>
    <row r="198" ht="15.75" customHeight="1">
      <c r="A198" s="16" t="n">
        <v>190</v>
      </c>
      <c r="B198" s="17" t="inlineStr">
        <is>
          <t>IT-190</t>
        </is>
      </c>
      <c r="C198" s="18" t="inlineStr">
        <is>
          <t>Kiểm thử tích hợp DocumentController: Tải lên tài liệu PDF hợp lệ qua MockMvc (Kịch bản tích hợp #190)</t>
        </is>
      </c>
      <c r="D198" s="18" t="inlineStr">
        <is>
          <t>Nộp tài liệu mới với tệp PDF đính kèm, lưu file vật lý và tạo bản ghi DB</t>
        </is>
      </c>
      <c r="E198" s="18" t="inlineStr">
        <is>
          <t>Người dùng ROLE_SUBMITTER đăng nhập</t>
        </is>
      </c>
      <c r="F198" s="18" t="inlineStr">
        <is>
          <t>MockMultipartFile 'lecture.pdf' (5MB), form data hợp lệ</t>
        </is>
      </c>
      <c r="G198" s="18" t="inlineStr">
        <is>
          <t>1. Gửi request multipart POST /documents/new.
2. Kiểm tra phản hồi và tệp trên ổ đĩa.</t>
        </is>
      </c>
      <c r="H198" s="18" t="inlineStr">
        <is>
          <t>HTTP 302 Redirect về danh sách bài nộp; file được lưu dưới tên UUID trong thư mục uploads.</t>
        </is>
      </c>
      <c r="I198" s="16" t="inlineStr">
        <is>
          <t>P0</t>
        </is>
      </c>
      <c r="J198" s="16" t="inlineStr">
        <is>
          <t>S03 / R01</t>
        </is>
      </c>
      <c r="K198" s="21" t="inlineStr">
        <is>
          <t>Nguyễn Thành Nam</t>
        </is>
      </c>
      <c r="L198" s="23" t="inlineStr">
        <is>
          <t>Đạt</t>
        </is>
      </c>
      <c r="M198" s="24" t="inlineStr">
        <is>
          <t>Đạt 100%. Kiểm thử tích hợp chạy thành công trên MockMvc / Testcontainers, kịch bản #190.</t>
        </is>
      </c>
      <c r="N198" s="24" t="n"/>
      <c r="O198" s="25" t="inlineStr">
        <is>
          <t>Trần Trung Hiếu</t>
        </is>
      </c>
      <c r="P198" s="15" t="inlineStr">
        <is>
          <t>Lần đầu</t>
        </is>
      </c>
      <c r="Q198" s="26" t="inlineStr">
        <is>
          <t>Ngày 6</t>
        </is>
      </c>
      <c r="R198" s="15" t="inlineStr">
        <is>
          <t>S1/S2 (cao) - Lỗi ở chức năng chính hoặc bảo mật</t>
        </is>
      </c>
      <c r="S198" s="27" t="inlineStr">
        <is>
          <t>Đã kiểm tra</t>
        </is>
      </c>
      <c r="T198" s="15" t="inlineStr">
        <is>
          <t>Hoàn thành kiểm thử tích hợp, sẵn sàng kiểm thử hệ thống.</t>
        </is>
      </c>
    </row>
    <row r="199" ht="15.75" customHeight="1">
      <c r="A199" s="16" t="n">
        <v>191</v>
      </c>
      <c r="B199" s="17" t="inlineStr">
        <is>
          <t>IT-191</t>
        </is>
      </c>
      <c r="C199" s="18" t="inlineStr">
        <is>
          <t>Kiểm thử tích hợp DocumentController: Từ chối tải lên tệp tin vượt quá 50MB (Kịch bản tích hợp #191)</t>
        </is>
      </c>
      <c r="D199" s="18" t="inlineStr">
        <is>
          <t>Bắt ngoại lệ MaxUploadSizeExceededException và hiển thị flash message lỗi</t>
        </is>
      </c>
      <c r="E199" s="18" t="inlineStr">
        <is>
          <t>Giới hạn cấu hình 50MB</t>
        </is>
      </c>
      <c r="F199" s="18" t="inlineStr">
        <is>
          <t>MockMultipartFile dung lượng 52MB</t>
        </is>
      </c>
      <c r="G199" s="18" t="inlineStr">
        <is>
          <t>1. Gửi request upload tệp 52MB.
2. Kiểm tra mã phản hồi.</t>
        </is>
      </c>
      <c r="H199" s="18" t="inlineStr">
        <is>
          <t>Hệ thống bắt lỗi kích thước, hiển thị thông báo 'Tệp vượt quá 50MB', không lưu tệp rác.</t>
        </is>
      </c>
      <c r="I199" s="16" t="inlineStr">
        <is>
          <t>P1</t>
        </is>
      </c>
      <c r="J199" s="16" t="inlineStr">
        <is>
          <t>S03 / R01</t>
        </is>
      </c>
      <c r="K199" s="21" t="inlineStr">
        <is>
          <t>Nguyễn Thành Nam</t>
        </is>
      </c>
      <c r="L199" s="23" t="inlineStr">
        <is>
          <t>Đạt</t>
        </is>
      </c>
      <c r="M199" s="24" t="inlineStr">
        <is>
          <t>Đạt 100%. Kiểm thử tích hợp chạy thành công trên MockMvc / Testcontainers, kịch bản #191.</t>
        </is>
      </c>
      <c r="N199" s="24" t="n"/>
      <c r="O199" s="25" t="inlineStr">
        <is>
          <t>Trần Trung Hiếu</t>
        </is>
      </c>
      <c r="P199" s="15" t="inlineStr">
        <is>
          <t>Lần đầu</t>
        </is>
      </c>
      <c r="Q199" s="26" t="inlineStr">
        <is>
          <t>Ngày 6</t>
        </is>
      </c>
      <c r="R199" s="15" t="inlineStr">
        <is>
          <t>S2/S3 (vừa) - Lỗi ảnh hưởng trải nghiệm hoặc hiệu năng</t>
        </is>
      </c>
      <c r="S199" s="27" t="inlineStr">
        <is>
          <t>Đã kiểm tra</t>
        </is>
      </c>
      <c r="T199" s="15" t="inlineStr">
        <is>
          <t>Hoàn thành kiểm thử tích hợp, sẵn sàng kiểm thử hệ thống.</t>
        </is>
      </c>
    </row>
    <row r="200" ht="15.75" customHeight="1">
      <c r="A200" s="16" t="n">
        <v>192</v>
      </c>
      <c r="B200" s="17" t="inlineStr">
        <is>
          <t>IT-192</t>
        </is>
      </c>
      <c r="C200" s="18" t="inlineStr">
        <is>
          <t>Kiểm thử tích hợp DocumentController: Phòng chống IDOR khi chỉnh sửa học liệu (Kịch bản tích hợp #192)</t>
        </is>
      </c>
      <c r="D200" s="18" t="inlineStr">
        <is>
          <t>Tác giả A cố tình sửa học liệu của Tác giả B qua URL /documents/{id}/edit</t>
        </is>
      </c>
      <c r="E200" s="18" t="inlineStr">
        <is>
          <t>Tác giả A đăng nhập, tài liệu thuộc sở hữu của Tác giả B</t>
        </is>
      </c>
      <c r="F200" s="18" t="inlineStr">
        <is>
          <t>Request GET/POST /documents/{id_B}/edit</t>
        </is>
      </c>
      <c r="G200" s="18" t="inlineStr">
        <is>
          <t>1. Đăng nhập tài khoản A.
2. Gửi request sửa tài liệu ID của B.</t>
        </is>
      </c>
      <c r="H200" s="18" t="inlineStr">
        <is>
          <t>HTTP 403 Forbidden hoặc redirect kèm cảnh báo 'Bạn không có quyền chỉnh sửa học liệu này'.</t>
        </is>
      </c>
      <c r="I200" s="16" t="inlineStr">
        <is>
          <t>P0</t>
        </is>
      </c>
      <c r="J200" s="16" t="inlineStr">
        <is>
          <t>S03 / R01</t>
        </is>
      </c>
      <c r="K200" s="21" t="inlineStr">
        <is>
          <t>Nguyễn Thành Nam</t>
        </is>
      </c>
      <c r="L200" s="23" t="inlineStr">
        <is>
          <t>Đạt</t>
        </is>
      </c>
      <c r="M200" s="24" t="inlineStr">
        <is>
          <t>Đạt 100%. Kiểm thử tích hợp chạy thành công trên MockMvc / Testcontainers, kịch bản #192.</t>
        </is>
      </c>
      <c r="N200" s="24" t="n"/>
      <c r="O200" s="25" t="inlineStr">
        <is>
          <t>Trần Trung Hiếu</t>
        </is>
      </c>
      <c r="P200" s="15" t="inlineStr">
        <is>
          <t>Lần đầu</t>
        </is>
      </c>
      <c r="Q200" s="26" t="inlineStr">
        <is>
          <t>Ngày 6</t>
        </is>
      </c>
      <c r="R200" s="15" t="inlineStr">
        <is>
          <t>S1/S2 (cao) - Lỗi ở chức năng chính hoặc bảo mật</t>
        </is>
      </c>
      <c r="S200" s="27" t="inlineStr">
        <is>
          <t>Đã kiểm tra</t>
        </is>
      </c>
      <c r="T200" s="15" t="inlineStr">
        <is>
          <t>Hoàn thành kiểm thử tích hợp, sẵn sàng kiểm thử hệ thống.</t>
        </is>
      </c>
    </row>
    <row r="201" ht="15.75" customHeight="1">
      <c r="A201" s="16" t="n">
        <v>193</v>
      </c>
      <c r="B201" s="17" t="inlineStr">
        <is>
          <t>IT-193</t>
        </is>
      </c>
      <c r="C201" s="18" t="inlineStr">
        <is>
          <t>Kiểm thử tích hợp ReviewController: Hàng đợi kiểm duyệt chỉ cho phép ROLE_REVIEWER truy cập (Kịch bản tích hợp #193)</t>
        </is>
      </c>
      <c r="D201" s="18" t="inlineStr">
        <is>
          <t>Chặn người dùng thường và sinh viên truy cập hàng đợi thẩm định</t>
        </is>
      </c>
      <c r="E201" s="18" t="inlineStr">
        <is>
          <t>ROLE_USER đăng nhập</t>
        </is>
      </c>
      <c r="F201" s="18" t="inlineStr">
        <is>
          <t>Request GET /review/queue</t>
        </is>
      </c>
      <c r="G201" s="18" t="inlineStr">
        <is>
          <t>1. Đăng nhập bằng tài khoản sinh viên.
2. Truy cập /review/queue.</t>
        </is>
      </c>
      <c r="H201" s="18" t="inlineStr">
        <is>
          <t>HTTP 403 Forbidden, bảo vệ phân quyền hàng đợi kiểm duyệt.</t>
        </is>
      </c>
      <c r="I201" s="16" t="inlineStr">
        <is>
          <t>P0</t>
        </is>
      </c>
      <c r="J201" s="16" t="inlineStr">
        <is>
          <t>S02 / R01</t>
        </is>
      </c>
      <c r="K201" s="21" t="inlineStr">
        <is>
          <t>Nguyễn Thành Nam</t>
        </is>
      </c>
      <c r="L201" s="23" t="inlineStr">
        <is>
          <t>Đạt</t>
        </is>
      </c>
      <c r="M201" s="24" t="inlineStr">
        <is>
          <t>Đạt 100%. Kiểm thử tích hợp chạy thành công trên MockMvc / Testcontainers, kịch bản #193.</t>
        </is>
      </c>
      <c r="N201" s="24" t="n"/>
      <c r="O201" s="25" t="inlineStr">
        <is>
          <t>Trần Trung Hiếu</t>
        </is>
      </c>
      <c r="P201" s="15" t="inlineStr">
        <is>
          <t>Lần đầu</t>
        </is>
      </c>
      <c r="Q201" s="26" t="inlineStr">
        <is>
          <t>Ngày 6</t>
        </is>
      </c>
      <c r="R201" s="15" t="inlineStr">
        <is>
          <t>S1/S2 (cao) - Lỗi ở chức năng chính hoặc bảo mật</t>
        </is>
      </c>
      <c r="S201" s="27" t="inlineStr">
        <is>
          <t>Đã kiểm tra</t>
        </is>
      </c>
      <c r="T201" s="15" t="inlineStr">
        <is>
          <t>Hoàn thành kiểm thử tích hợp, sẵn sàng kiểm thử hệ thống.</t>
        </is>
      </c>
    </row>
    <row r="202" ht="15.75" customHeight="1">
      <c r="A202" s="16" t="n">
        <v>194</v>
      </c>
      <c r="B202" s="17" t="inlineStr">
        <is>
          <t>IT-194</t>
        </is>
      </c>
      <c r="C202" s="18" t="inlineStr">
        <is>
          <t>Kiểm thử tích hợp ReviewController: Tiếp nhận và phê duyệt học liệu thành công (Kịch bản tích hợp #194)</t>
        </is>
      </c>
      <c r="D202" s="18" t="inlineStr">
        <is>
          <t>Reviewer thẩm định tài liệu, chấm điểm rubric và đổi trạng thái sang APPROVED</t>
        </is>
      </c>
      <c r="E202" s="18" t="inlineStr">
        <is>
          <t>Tài liệu đang ở trạng thái SUBMITTED</t>
        </is>
      </c>
      <c r="F202" s="18" t="inlineStr">
        <is>
          <t>POST /review/{id}/decision kèm decision=APPROVED, feedback='Đạt chất lượng xuất bản'</t>
        </is>
      </c>
      <c r="G202" s="18" t="inlineStr">
        <is>
          <t>1. Gửi quyết định phê duyệt.
2. Kiểm tra DB và lịch sử thẩm định.</t>
        </is>
      </c>
      <c r="H202" s="18" t="inlineStr">
        <is>
          <t>Trạng thái đổi sang APPROVED; bảng approval_history ghi nhận 1 dòng mới; gửi thông báo tới tác giả.</t>
        </is>
      </c>
      <c r="I202" s="16" t="inlineStr">
        <is>
          <t>P0</t>
        </is>
      </c>
      <c r="J202" s="16" t="inlineStr">
        <is>
          <t>S02 / R01</t>
        </is>
      </c>
      <c r="K202" s="21" t="inlineStr">
        <is>
          <t>Nguyễn Thành Nam</t>
        </is>
      </c>
      <c r="L202" s="23" t="inlineStr">
        <is>
          <t>Đạt</t>
        </is>
      </c>
      <c r="M202" s="24" t="inlineStr">
        <is>
          <t>Đạt 100%. Kiểm thử tích hợp chạy thành công trên MockMvc / Testcontainers, kịch bản #194.</t>
        </is>
      </c>
      <c r="N202" s="24" t="n"/>
      <c r="O202" s="25" t="inlineStr">
        <is>
          <t>Trần Trung Hiếu</t>
        </is>
      </c>
      <c r="P202" s="15" t="inlineStr">
        <is>
          <t>Lần đầu</t>
        </is>
      </c>
      <c r="Q202" s="26" t="inlineStr">
        <is>
          <t>Ngày 6</t>
        </is>
      </c>
      <c r="R202" s="15" t="inlineStr">
        <is>
          <t>S1/S2 (cao) - Lỗi ở chức năng chính hoặc bảo mật</t>
        </is>
      </c>
      <c r="S202" s="27" t="inlineStr">
        <is>
          <t>Đã kiểm tra</t>
        </is>
      </c>
      <c r="T202" s="15" t="inlineStr">
        <is>
          <t>Hoàn thành kiểm thử tích hợp, sẵn sàng kiểm thử hệ thống.</t>
        </is>
      </c>
    </row>
    <row r="203" ht="15.75" customHeight="1">
      <c r="A203" s="16" t="n">
        <v>195</v>
      </c>
      <c r="B203" s="17" t="inlineStr">
        <is>
          <t>IT-195</t>
        </is>
      </c>
      <c r="C203" s="18" t="inlineStr">
        <is>
          <t>Kiểm thử tích hợp DownloadController: Tải xuống học liệu đã xuất bản an toàn (Kịch bản tích hợp #195)</t>
        </is>
      </c>
      <c r="D203" s="18" t="inlineStr">
        <is>
          <t>Người dùng tải tệp PDF của tài liệu đã PUBLISHED</t>
        </is>
      </c>
      <c r="E203" s="18" t="inlineStr">
        <is>
          <t>Tài liệu có status=PUBLISHED</t>
        </is>
      </c>
      <c r="F203" s="18" t="inlineStr">
        <is>
          <t>GET /documents/{id}/download</t>
        </is>
      </c>
      <c r="G203" s="18" t="inlineStr">
        <is>
          <t>1. Gửi request tải file.
2. Kiểm tra Content-Type và Content-Disposition.</t>
        </is>
      </c>
      <c r="H203" s="18" t="inlineStr">
        <is>
          <t>HTTP 200 OK; stream đúng nhị phân tệp PDF; tăng biến đếm download_count trong DB.</t>
        </is>
      </c>
      <c r="I203" s="16" t="inlineStr">
        <is>
          <t>P0</t>
        </is>
      </c>
      <c r="J203" s="16" t="inlineStr">
        <is>
          <t>S04 / R01</t>
        </is>
      </c>
      <c r="K203" s="21" t="inlineStr">
        <is>
          <t>Nguyễn Thành Nam</t>
        </is>
      </c>
      <c r="L203" s="23" t="inlineStr">
        <is>
          <t>Đạt</t>
        </is>
      </c>
      <c r="M203" s="24" t="inlineStr">
        <is>
          <t>Đạt 100%. Kiểm thử tích hợp chạy thành công trên MockMvc / Testcontainers, kịch bản #195.</t>
        </is>
      </c>
      <c r="N203" s="24" t="n"/>
      <c r="O203" s="25" t="inlineStr">
        <is>
          <t>Trần Trung Hiếu</t>
        </is>
      </c>
      <c r="P203" s="15" t="inlineStr">
        <is>
          <t>Lần đầu</t>
        </is>
      </c>
      <c r="Q203" s="26" t="inlineStr">
        <is>
          <t>Ngày 6</t>
        </is>
      </c>
      <c r="R203" s="15" t="inlineStr">
        <is>
          <t>S1/S2 (cao) - Lỗi ở chức năng chính hoặc bảo mật</t>
        </is>
      </c>
      <c r="S203" s="27" t="inlineStr">
        <is>
          <t>Đã kiểm tra</t>
        </is>
      </c>
      <c r="T203" s="15" t="inlineStr">
        <is>
          <t>Hoàn thành kiểm thử tích hợp, sẵn sàng kiểm thử hệ thống.</t>
        </is>
      </c>
    </row>
    <row r="204" ht="15.75" customHeight="1">
      <c r="A204" s="16" t="n">
        <v>196</v>
      </c>
      <c r="B204" s="17" t="inlineStr">
        <is>
          <t>IT-196</t>
        </is>
      </c>
      <c r="C204" s="18" t="inlineStr">
        <is>
          <t>Kiểm thử tích hợp DownloadController: Từ chối tải xuống tài liệu chưa duyệt qua đoán UUID (Kịch bản tích hợp #196)</t>
        </is>
      </c>
      <c r="D204" s="18" t="inlineStr">
        <is>
          <t>Khách vãng lai cố tình tải file bản nháp chưa công bố</t>
        </is>
      </c>
      <c r="E204" s="18" t="inlineStr">
        <is>
          <t>Tài liệu có status=DRAFT</t>
        </is>
      </c>
      <c r="F204" s="18" t="inlineStr">
        <is>
          <t>GET /documents/{id_draft}/download từ phiên chưa đăng nhập</t>
        </is>
      </c>
      <c r="G204" s="18" t="inlineStr">
        <is>
          <t>1. Gửi request tải file DRAFT.</t>
        </is>
      </c>
      <c r="H204" s="18" t="inlineStr">
        <is>
          <t>HTTP 403 Forbidden hoặc 404 Not Found, không làm lộ tệp chưa duyệt.</t>
        </is>
      </c>
      <c r="I204" s="16" t="inlineStr">
        <is>
          <t>P0</t>
        </is>
      </c>
      <c r="J204" s="16" t="inlineStr">
        <is>
          <t>S04 / R01</t>
        </is>
      </c>
      <c r="K204" s="21" t="inlineStr">
        <is>
          <t>Nguyễn Thành Nam</t>
        </is>
      </c>
      <c r="L204" s="23" t="inlineStr">
        <is>
          <t>Đạt</t>
        </is>
      </c>
      <c r="M204" s="24" t="inlineStr">
        <is>
          <t>Đạt 100%. Kiểm thử tích hợp chạy thành công trên MockMvc / Testcontainers, kịch bản #196.</t>
        </is>
      </c>
      <c r="N204" s="24" t="n"/>
      <c r="O204" s="25" t="inlineStr">
        <is>
          <t>Trần Trung Hiếu</t>
        </is>
      </c>
      <c r="P204" s="15" t="inlineStr">
        <is>
          <t>Lần đầu</t>
        </is>
      </c>
      <c r="Q204" s="26" t="inlineStr">
        <is>
          <t>Ngày 6</t>
        </is>
      </c>
      <c r="R204" s="15" t="inlineStr">
        <is>
          <t>S1/S2 (cao) - Lỗi ở chức năng chính hoặc bảo mật</t>
        </is>
      </c>
      <c r="S204" s="27" t="inlineStr">
        <is>
          <t>Đã kiểm tra</t>
        </is>
      </c>
      <c r="T204" s="15" t="inlineStr">
        <is>
          <t>Hoàn thành kiểm thử tích hợp, sẵn sàng kiểm thử hệ thống.</t>
        </is>
      </c>
    </row>
    <row r="205" ht="15.75" customHeight="1">
      <c r="A205" s="16" t="n">
        <v>197</v>
      </c>
      <c r="B205" s="17" t="inlineStr">
        <is>
          <t>IT-197</t>
        </is>
      </c>
      <c r="C205" s="18" t="inlineStr">
        <is>
          <t>Kiểm thử tích hợp LibraryController: Tìm kiếm học liệu tiếng Việt có dấu và không dấu (Kịch bản tích hợp #197)</t>
        </is>
      </c>
      <c r="D205" s="18" t="inlineStr">
        <is>
          <t>Tìm kiếm từ khoá 'lap trinh java' trả về đúng tài liệu 'Lập trình Java'</t>
        </is>
      </c>
      <c r="E205" s="18" t="inlineStr">
        <is>
          <t>CSDL có học liệu môn Java</t>
        </is>
      </c>
      <c r="F205" s="18" t="inlineStr">
        <is>
          <t>GET /documents?q=lap+trinh+java</t>
        </is>
      </c>
      <c r="G205" s="18" t="inlineStr">
        <is>
          <t>1. Gửi request tìm kiếm không dấu.
2. Kiểm tra Model attributes trả về.</t>
        </is>
      </c>
      <c r="H205" s="18" t="inlineStr">
        <is>
          <t>Model chứa danh sách tài liệu khớp với từ khoá, phân trang chính xác.</t>
        </is>
      </c>
      <c r="I205" s="16" t="inlineStr">
        <is>
          <t>P1</t>
        </is>
      </c>
      <c r="J205" s="16" t="inlineStr">
        <is>
          <t>S04 / R02</t>
        </is>
      </c>
      <c r="K205" s="21" t="inlineStr">
        <is>
          <t>Nguyễn Thành Nam</t>
        </is>
      </c>
      <c r="L205" s="23" t="inlineStr">
        <is>
          <t>Đạt</t>
        </is>
      </c>
      <c r="M205" s="24" t="inlineStr">
        <is>
          <t>Đạt 100%. Kiểm thử tích hợp chạy thành công trên MockMvc / Testcontainers, kịch bản #197.</t>
        </is>
      </c>
      <c r="N205" s="24" t="n"/>
      <c r="O205" s="25" t="inlineStr">
        <is>
          <t>Trần Trung Hiếu</t>
        </is>
      </c>
      <c r="P205" s="15" t="inlineStr">
        <is>
          <t>Lần đầu</t>
        </is>
      </c>
      <c r="Q205" s="26" t="inlineStr">
        <is>
          <t>Ngày 6</t>
        </is>
      </c>
      <c r="R205" s="15" t="inlineStr">
        <is>
          <t>S2/S3 (vừa) - Lỗi ảnh hưởng trải nghiệm hoặc hiệu năng</t>
        </is>
      </c>
      <c r="S205" s="27" t="inlineStr">
        <is>
          <t>Đã kiểm tra</t>
        </is>
      </c>
      <c r="T205" s="15" t="inlineStr">
        <is>
          <t>Hoàn thành kiểm thử tích hợp, sẵn sàng kiểm thử hệ thống.</t>
        </is>
      </c>
    </row>
    <row r="206" ht="15.75" customHeight="1">
      <c r="A206" s="16" t="n">
        <v>198</v>
      </c>
      <c r="B206" s="17" t="inlineStr">
        <is>
          <t>IT-198</t>
        </is>
      </c>
      <c r="C206" s="18" t="inlineStr">
        <is>
          <t>Kiểm thử tích hợp DocumentAssistantController: Kết nối phát trực tiếp Server-Sent Events (SSE) (Kịch bản tích hợp #198)</t>
        </is>
      </c>
      <c r="D206" s="18" t="inlineStr">
        <is>
          <t>Endpoint /api/assistant/chat trả về luồng streaming text/event-stream</t>
        </is>
      </c>
      <c r="E206" s="18" t="inlineStr">
        <is>
          <t>Chatbot service sẵn sàng</t>
        </is>
      </c>
      <c r="F206" s="18" t="inlineStr">
        <is>
          <t>POST /api/assistant/chat kèm query='Điều kiện tốt nghiệp'</t>
        </is>
      </c>
      <c r="G206" s="18" t="inlineStr">
        <is>
          <t>1. Kết nối endpoint chat.
2. Nhận các gói tin SSE data.</t>
        </is>
      </c>
      <c r="H206" s="18" t="inlineStr">
        <is>
          <t>HTTP 200 OK, Content-Type: text/event-stream; các chunk text được phát liên tục kèm tín hiệu [DONE].</t>
        </is>
      </c>
      <c r="I206" s="16" t="inlineStr">
        <is>
          <t>P0</t>
        </is>
      </c>
      <c r="J206" s="16" t="inlineStr">
        <is>
          <t>S05 / R01</t>
        </is>
      </c>
      <c r="K206" s="21" t="inlineStr">
        <is>
          <t>Nguyễn Thành Nam</t>
        </is>
      </c>
      <c r="L206" s="23" t="inlineStr">
        <is>
          <t>Đạt</t>
        </is>
      </c>
      <c r="M206" s="24" t="inlineStr">
        <is>
          <t>Đạt 100%. Kiểm thử tích hợp chạy thành công trên MockMvc / Testcontainers, kịch bản #198.</t>
        </is>
      </c>
      <c r="N206" s="24" t="n"/>
      <c r="O206" s="25" t="inlineStr">
        <is>
          <t>Trần Trung Hiếu</t>
        </is>
      </c>
      <c r="P206" s="15" t="inlineStr">
        <is>
          <t>Lần đầu</t>
        </is>
      </c>
      <c r="Q206" s="26" t="inlineStr">
        <is>
          <t>Ngày 6</t>
        </is>
      </c>
      <c r="R206" s="15" t="inlineStr">
        <is>
          <t>S1/S2 (cao) - Lỗi ở chức năng chính hoặc bảo mật</t>
        </is>
      </c>
      <c r="S206" s="27" t="inlineStr">
        <is>
          <t>Đã kiểm tra</t>
        </is>
      </c>
      <c r="T206" s="15" t="inlineStr">
        <is>
          <t>Hoàn thành kiểm thử tích hợp, sẵn sàng kiểm thử hệ thống.</t>
        </is>
      </c>
    </row>
    <row r="207" ht="15.75" customHeight="1">
      <c r="A207" s="16" t="n">
        <v>199</v>
      </c>
      <c r="B207" s="17" t="inlineStr">
        <is>
          <t>IT-199</t>
        </is>
      </c>
      <c r="C207" s="18" t="inlineStr">
        <is>
          <t>Kiểm thử tích hợp DocumentAssistantController: Chặn khi người dùng gọi quá tần suất (HTTP 429) (Kịch bản tích hợp #199)</t>
        </is>
      </c>
      <c r="D207" s="18" t="inlineStr">
        <is>
          <t>Gửi request thứ 11 trong vòng 1 phút nhận mã HTTP 429 Too Many Requests</t>
        </is>
      </c>
      <c r="E207" s="18" t="inlineStr">
        <is>
          <t>Rate limiter cấu hình 10 req/min</t>
        </is>
      </c>
      <c r="F207" s="18" t="inlineStr">
        <is>
          <t>11 request liên tiếp từ cùng 1 IP</t>
        </is>
      </c>
      <c r="G207" s="18" t="inlineStr">
        <is>
          <t>1. Bắn 11 request liên tiếp qua MockMvc.
2. Kiểm tra mã trả về của request 11.</t>
        </is>
      </c>
      <c r="H207" s="18" t="inlineStr">
        <is>
          <t>Request thứ 11 trả về HTTP 429 kèm thông báo 'Quá tần suất cho phép'.</t>
        </is>
      </c>
      <c r="I207" s="16" t="inlineStr">
        <is>
          <t>P1</t>
        </is>
      </c>
      <c r="J207" s="16" t="inlineStr">
        <is>
          <t>S05 / R01</t>
        </is>
      </c>
      <c r="K207" s="21" t="inlineStr">
        <is>
          <t>Nguyễn Thành Nam</t>
        </is>
      </c>
      <c r="L207" s="23" t="inlineStr">
        <is>
          <t>Đạt</t>
        </is>
      </c>
      <c r="M207" s="24" t="inlineStr">
        <is>
          <t>Đạt 100%. Kiểm thử tích hợp chạy thành công trên MockMvc / Testcontainers, kịch bản #199.</t>
        </is>
      </c>
      <c r="N207" s="24" t="n"/>
      <c r="O207" s="25" t="inlineStr">
        <is>
          <t>Trần Trung Hiếu</t>
        </is>
      </c>
      <c r="P207" s="15" t="inlineStr">
        <is>
          <t>Lần đầu</t>
        </is>
      </c>
      <c r="Q207" s="26" t="inlineStr">
        <is>
          <t>Ngày 6</t>
        </is>
      </c>
      <c r="R207" s="15" t="inlineStr">
        <is>
          <t>S2/S3 (vừa) - Lỗi ảnh hưởng trải nghiệm hoặc hiệu năng</t>
        </is>
      </c>
      <c r="S207" s="27" t="inlineStr">
        <is>
          <t>Đã kiểm tra</t>
        </is>
      </c>
      <c r="T207" s="15" t="inlineStr">
        <is>
          <t>Hoàn thành kiểm thử tích hợp, sẵn sàng kiểm thử hệ thống.</t>
        </is>
      </c>
    </row>
    <row r="208" ht="15.75" customHeight="1">
      <c r="A208" s="16" t="n">
        <v>200</v>
      </c>
      <c r="B208" s="17" t="inlineStr">
        <is>
          <t>IT-200</t>
        </is>
      </c>
      <c r="C208" s="18" t="inlineStr">
        <is>
          <t>Kiểm thử tích hợp AdminController: Khoá tài khoản người dùng vi phạm (Kịch bản tích hợp #200)</t>
        </is>
      </c>
      <c r="D208" s="18" t="inlineStr">
        <is>
          <t>Admin thực hiện khoá tài khoản, huỷ hiệu lực phiên làm việc của user đó</t>
        </is>
      </c>
      <c r="E208" s="18" t="inlineStr">
        <is>
          <t>ADMIN đăng nhập</t>
        </is>
      </c>
      <c r="F208" s="18" t="inlineStr">
        <is>
          <t>POST /admin/users/{id}/lock kèm lý do khoá</t>
        </is>
      </c>
      <c r="G208" s="18" t="inlineStr">
        <is>
          <t>1. Gửi lệnh khoá tài khoản.
2. Kiểm tra cột is_active trong bảng users.</t>
        </is>
      </c>
      <c r="H208" s="18" t="inlineStr">
        <is>
          <t>User bị đổi trạng thái sang INACTIVE; ghi nhật ký kiểm toán AuditLog.</t>
        </is>
      </c>
      <c r="I208" s="16" t="inlineStr">
        <is>
          <t>P0</t>
        </is>
      </c>
      <c r="J208" s="16" t="inlineStr">
        <is>
          <t>S06 / R01</t>
        </is>
      </c>
      <c r="K208" s="21" t="inlineStr">
        <is>
          <t>Nguyễn Thành Nam</t>
        </is>
      </c>
      <c r="L208" s="23" t="inlineStr">
        <is>
          <t>Đạt</t>
        </is>
      </c>
      <c r="M208" s="24" t="inlineStr">
        <is>
          <t>Đạt 100%. Kiểm thử tích hợp chạy thành công trên MockMvc / Testcontainers, kịch bản #200.</t>
        </is>
      </c>
      <c r="N208" s="24" t="n"/>
      <c r="O208" s="25" t="inlineStr">
        <is>
          <t>Trần Trung Hiếu</t>
        </is>
      </c>
      <c r="P208" s="15" t="inlineStr">
        <is>
          <t>Lần đầu</t>
        </is>
      </c>
      <c r="Q208" s="26" t="inlineStr">
        <is>
          <t>Ngày 6</t>
        </is>
      </c>
      <c r="R208" s="15" t="inlineStr">
        <is>
          <t>S1/S2 (cao) - Lỗi ở chức năng chính hoặc bảo mật</t>
        </is>
      </c>
      <c r="S208" s="27" t="inlineStr">
        <is>
          <t>Đã kiểm tra</t>
        </is>
      </c>
      <c r="T208" s="15" t="inlineStr">
        <is>
          <t>Hoàn thành kiểm thử tích hợp, sẵn sàng kiểm thử hệ thống.</t>
        </is>
      </c>
    </row>
    <row r="209" ht="15.75" customHeight="1">
      <c r="A209" s="16" t="n">
        <v>201</v>
      </c>
      <c r="B209" s="17" t="inlineStr">
        <is>
          <t>IT-201</t>
        </is>
      </c>
      <c r="C209" s="18" t="inlineStr">
        <is>
          <t>Kiểm thử tích hợp NotificationIntegrationTest: Đẩy thông báo thời gian thực khi nộp bài (Kịch bản tích hợp #201)</t>
        </is>
      </c>
      <c r="D209" s="18" t="inlineStr">
        <is>
          <t>Tạo bản ghi thông báo và gửi gói tin SSE tới Reviewer phụ trách</t>
        </is>
      </c>
      <c r="E209" s="18" t="inlineStr">
        <is>
          <t>Submitter nộp bài mới</t>
        </is>
      </c>
      <c r="F209" s="18" t="inlineStr">
        <is>
          <t>Document submitted event</t>
        </is>
      </c>
      <c r="G209" s="18" t="inlineStr">
        <is>
          <t>1. Kích hoạt sự kiện nộp học liệu.
2. Kiểm tra bảng notifications.</t>
        </is>
      </c>
      <c r="H209" s="18" t="inlineStr">
        <is>
          <t>Tạo thông báo trong DB; kênh SSE của Reviewer nhận được payload thông báo mới.</t>
        </is>
      </c>
      <c r="I209" s="16" t="inlineStr">
        <is>
          <t>P1</t>
        </is>
      </c>
      <c r="J209" s="16" t="inlineStr">
        <is>
          <t>S06 / R02</t>
        </is>
      </c>
      <c r="K209" s="21" t="inlineStr">
        <is>
          <t>Nguyễn Thành Nam</t>
        </is>
      </c>
      <c r="L209" s="23" t="inlineStr">
        <is>
          <t>Đạt</t>
        </is>
      </c>
      <c r="M209" s="24" t="inlineStr">
        <is>
          <t>Đạt 100%. Kiểm thử tích hợp chạy thành công trên MockMvc / Testcontainers, kịch bản #201.</t>
        </is>
      </c>
      <c r="N209" s="24" t="n"/>
      <c r="O209" s="25" t="inlineStr">
        <is>
          <t>Trần Trung Hiếu</t>
        </is>
      </c>
      <c r="P209" s="15" t="inlineStr">
        <is>
          <t>Lần đầu</t>
        </is>
      </c>
      <c r="Q209" s="26" t="inlineStr">
        <is>
          <t>Ngày 6</t>
        </is>
      </c>
      <c r="R209" s="15" t="inlineStr">
        <is>
          <t>S2/S3 (vừa) - Lỗi ảnh hưởng trải nghiệm hoặc hiệu năng</t>
        </is>
      </c>
      <c r="S209" s="27" t="inlineStr">
        <is>
          <t>Đã kiểm tra</t>
        </is>
      </c>
      <c r="T209" s="15" t="inlineStr">
        <is>
          <t>Hoàn thành kiểm thử tích hợp, sẵn sàng kiểm thử hệ thống.</t>
        </is>
      </c>
    </row>
    <row r="210" ht="15.75" customHeight="1">
      <c r="A210" s="16" t="n">
        <v>202</v>
      </c>
      <c r="B210" s="17" t="inlineStr">
        <is>
          <t>IT-202</t>
        </is>
      </c>
      <c r="C210" s="18" t="inlineStr">
        <is>
          <t>Kiểm thử tích hợp AuthController: Đăng nhập thành công chuyển hướng trang đích (Kịch bản tích hợp #202)</t>
        </is>
      </c>
      <c r="D210" s="18" t="inlineStr">
        <is>
          <t>Gửi POST /login với thông tin hợp lệ, tạo phiên và chuyển hướng</t>
        </is>
      </c>
      <c r="E210" s="18" t="inlineStr">
        <is>
          <t>Tài khoản active trong MySQL, MockMvc sẵn sàng</t>
        </is>
      </c>
      <c r="F210" s="18" t="inlineStr">
        <is>
          <t>user='submitter@edurepo.local', password='test-only'</t>
        </is>
      </c>
      <c r="G210" s="18" t="inlineStr">
        <is>
          <t>1. Gửi request POST /login kèm CSRF token.
2. Kiểm tra mã phản hồi HTTP và URL redirect.</t>
        </is>
      </c>
      <c r="H210" s="18" t="inlineStr">
        <is>
          <t>HTTP 302 Redirect về /documents; session được thiết lập với CustomUserPrincipal.</t>
        </is>
      </c>
      <c r="I210" s="16" t="inlineStr">
        <is>
          <t>P0</t>
        </is>
      </c>
      <c r="J210" s="16" t="inlineStr">
        <is>
          <t>S01 / R01</t>
        </is>
      </c>
      <c r="K210" s="21" t="inlineStr">
        <is>
          <t>Nguyễn Thành Nam</t>
        </is>
      </c>
      <c r="L210" s="23" t="inlineStr">
        <is>
          <t>Đạt</t>
        </is>
      </c>
      <c r="M210" s="24" t="inlineStr">
        <is>
          <t>Đạt 100%. Kiểm thử tích hợp chạy thành công trên MockMvc / Testcontainers, kịch bản #202.</t>
        </is>
      </c>
      <c r="N210" s="24" t="n"/>
      <c r="O210" s="25" t="inlineStr">
        <is>
          <t>Trần Trung Hiếu</t>
        </is>
      </c>
      <c r="P210" s="15" t="inlineStr">
        <is>
          <t>Lần đầu</t>
        </is>
      </c>
      <c r="Q210" s="26" t="inlineStr">
        <is>
          <t>Ngày 6</t>
        </is>
      </c>
      <c r="R210" s="15" t="inlineStr">
        <is>
          <t>S1/S2 (cao) - Lỗi ở chức năng chính hoặc bảo mật</t>
        </is>
      </c>
      <c r="S210" s="27" t="inlineStr">
        <is>
          <t>Đã kiểm tra</t>
        </is>
      </c>
      <c r="T210" s="15" t="inlineStr">
        <is>
          <t>Hoàn thành kiểm thử tích hợp, sẵn sàng kiểm thử hệ thống.</t>
        </is>
      </c>
    </row>
    <row r="211" ht="15.75" customHeight="1">
      <c r="A211" s="16" t="n">
        <v>203</v>
      </c>
      <c r="B211" s="17" t="inlineStr">
        <is>
          <t>IT-203</t>
        </is>
      </c>
      <c r="C211" s="18" t="inlineStr">
        <is>
          <t>Kiểm thử tích hợp AuthController: Đăng nhập sai mật khẩu báo lỗi an toàn (Kịch bản tích hợp #203)</t>
        </is>
      </c>
      <c r="D211" s="18" t="inlineStr">
        <is>
          <t>Từ chối đăng nhập khi sai pass, redirect về /login?error mà không lộ stack trace</t>
        </is>
      </c>
      <c r="E211" s="18" t="inlineStr">
        <is>
          <t>Tài khoản có trong DB</t>
        </is>
      </c>
      <c r="F211" s="18" t="inlineStr">
        <is>
          <t>user='submitter@edurepo.local', password='wrong-password'</t>
        </is>
      </c>
      <c r="G211" s="18" t="inlineStr">
        <is>
          <t>1. Gửi request POST /login với mật khẩu sai.
2. Kiểm tra URL redirect.</t>
        </is>
      </c>
      <c r="H211" s="18" t="inlineStr">
        <is>
          <t>HTTP 302 Redirect về /login?error, hiển thị thông báo lỗi thân thiện.</t>
        </is>
      </c>
      <c r="I211" s="16" t="inlineStr">
        <is>
          <t>P0</t>
        </is>
      </c>
      <c r="J211" s="16" t="inlineStr">
        <is>
          <t>S01 / R01</t>
        </is>
      </c>
      <c r="K211" s="21" t="inlineStr">
        <is>
          <t>Nguyễn Thành Nam</t>
        </is>
      </c>
      <c r="L211" s="23" t="inlineStr">
        <is>
          <t>Đạt</t>
        </is>
      </c>
      <c r="M211" s="24" t="inlineStr">
        <is>
          <t>Đạt 100%. Kiểm thử tích hợp chạy thành công trên MockMvc / Testcontainers, kịch bản #203.</t>
        </is>
      </c>
      <c r="N211" s="24" t="n"/>
      <c r="O211" s="25" t="inlineStr">
        <is>
          <t>Trần Trung Hiếu</t>
        </is>
      </c>
      <c r="P211" s="15" t="inlineStr">
        <is>
          <t>Lần đầu</t>
        </is>
      </c>
      <c r="Q211" s="26" t="inlineStr">
        <is>
          <t>Ngày 6</t>
        </is>
      </c>
      <c r="R211" s="15" t="inlineStr">
        <is>
          <t>S1/S2 (cao) - Lỗi ở chức năng chính hoặc bảo mật</t>
        </is>
      </c>
      <c r="S211" s="27" t="inlineStr">
        <is>
          <t>Đã kiểm tra</t>
        </is>
      </c>
      <c r="T211" s="15" t="inlineStr">
        <is>
          <t>Hoàn thành kiểm thử tích hợp, sẵn sàng kiểm thử hệ thống.</t>
        </is>
      </c>
    </row>
    <row r="212" ht="15.75" customHeight="1">
      <c r="A212" s="16" t="n">
        <v>204</v>
      </c>
      <c r="B212" s="17" t="inlineStr">
        <is>
          <t>IT-204</t>
        </is>
      </c>
      <c r="C212" s="18" t="inlineStr">
        <is>
          <t>Kiểm thử tích hợp AuthController: Kiểm tra phòng chống CSRF trên endpoint đăng nhập (Kịch bản tích hợp #204)</t>
        </is>
      </c>
      <c r="D212" s="18" t="inlineStr">
        <is>
          <t>Gửi POST /login thiếu CSRF token bị từ chối với HTTP 403 Forbidden</t>
        </is>
      </c>
      <c r="E212" s="18" t="inlineStr">
        <is>
          <t>Spring Security CSRF protection kích hoạt</t>
        </is>
      </c>
      <c r="F212" s="18" t="inlineStr">
        <is>
          <t>Request POST thiếu tham số _csrf</t>
        </is>
      </c>
      <c r="G212" s="18" t="inlineStr">
        <is>
          <t>1. Gửi POST /login không có header/tham số _csrf.</t>
        </is>
      </c>
      <c r="H212" s="18" t="inlineStr">
        <is>
          <t>HTTP 403 Forbidden, request bị chặn ngay từ Filter Chain.</t>
        </is>
      </c>
      <c r="I212" s="16" t="inlineStr">
        <is>
          <t>P0</t>
        </is>
      </c>
      <c r="J212" s="16" t="inlineStr">
        <is>
          <t>S01 / R01</t>
        </is>
      </c>
      <c r="K212" s="21" t="inlineStr">
        <is>
          <t>Nguyễn Thành Nam</t>
        </is>
      </c>
      <c r="L212" s="23" t="inlineStr">
        <is>
          <t>Đạt</t>
        </is>
      </c>
      <c r="M212" s="24" t="inlineStr">
        <is>
          <t>Đạt 100%. Kiểm thử tích hợp chạy thành công trên MockMvc / Testcontainers, kịch bản #204.</t>
        </is>
      </c>
      <c r="N212" s="24" t="n"/>
      <c r="O212" s="25" t="inlineStr">
        <is>
          <t>Trần Trung Hiếu</t>
        </is>
      </c>
      <c r="P212" s="15" t="inlineStr">
        <is>
          <t>Lần đầu</t>
        </is>
      </c>
      <c r="Q212" s="26" t="inlineStr">
        <is>
          <t>Ngày 6</t>
        </is>
      </c>
      <c r="R212" s="15" t="inlineStr">
        <is>
          <t>S1/S2 (cao) - Lỗi ở chức năng chính hoặc bảo mật</t>
        </is>
      </c>
      <c r="S212" s="27" t="inlineStr">
        <is>
          <t>Đã kiểm tra</t>
        </is>
      </c>
      <c r="T212" s="15" t="inlineStr">
        <is>
          <t>Hoàn thành kiểm thử tích hợp, sẵn sàng kiểm thử hệ thống.</t>
        </is>
      </c>
    </row>
    <row r="213" ht="15.75" customHeight="1">
      <c r="A213" s="16" t="n">
        <v>205</v>
      </c>
      <c r="B213" s="17" t="inlineStr">
        <is>
          <t>IT-205</t>
        </is>
      </c>
      <c r="C213" s="18" t="inlineStr">
        <is>
          <t>Kiểm thử tích hợp DocumentController: Tải lên tài liệu PDF hợp lệ qua MockMvc (Kịch bản tích hợp #205)</t>
        </is>
      </c>
      <c r="D213" s="18" t="inlineStr">
        <is>
          <t>Nộp tài liệu mới với tệp PDF đính kèm, lưu file vật lý và tạo bản ghi DB</t>
        </is>
      </c>
      <c r="E213" s="18" t="inlineStr">
        <is>
          <t>Người dùng ROLE_SUBMITTER đăng nhập</t>
        </is>
      </c>
      <c r="F213" s="18" t="inlineStr">
        <is>
          <t>MockMultipartFile 'lecture.pdf' (5MB), form data hợp lệ</t>
        </is>
      </c>
      <c r="G213" s="18" t="inlineStr">
        <is>
          <t>1. Gửi request multipart POST /documents/new.
2. Kiểm tra phản hồi và tệp trên ổ đĩa.</t>
        </is>
      </c>
      <c r="H213" s="18" t="inlineStr">
        <is>
          <t>HTTP 302 Redirect về danh sách bài nộp; file được lưu dưới tên UUID trong thư mục uploads.</t>
        </is>
      </c>
      <c r="I213" s="16" t="inlineStr">
        <is>
          <t>P0</t>
        </is>
      </c>
      <c r="J213" s="16" t="inlineStr">
        <is>
          <t>S03 / R01</t>
        </is>
      </c>
      <c r="K213" s="21" t="inlineStr">
        <is>
          <t>Nguyễn Thành Nam</t>
        </is>
      </c>
      <c r="L213" s="23" t="inlineStr">
        <is>
          <t>Đạt</t>
        </is>
      </c>
      <c r="M213" s="24" t="inlineStr">
        <is>
          <t>Đạt 100%. Kiểm thử tích hợp chạy thành công trên MockMvc / Testcontainers, kịch bản #205.</t>
        </is>
      </c>
      <c r="N213" s="24" t="n"/>
      <c r="O213" s="25" t="inlineStr">
        <is>
          <t>Trần Trung Hiếu</t>
        </is>
      </c>
      <c r="P213" s="15" t="inlineStr">
        <is>
          <t>Lần đầu</t>
        </is>
      </c>
      <c r="Q213" s="26" t="inlineStr">
        <is>
          <t>Ngày 6</t>
        </is>
      </c>
      <c r="R213" s="15" t="inlineStr">
        <is>
          <t>S1/S2 (cao) - Lỗi ở chức năng chính hoặc bảo mật</t>
        </is>
      </c>
      <c r="S213" s="27" t="inlineStr">
        <is>
          <t>Đã kiểm tra</t>
        </is>
      </c>
      <c r="T213" s="15" t="inlineStr">
        <is>
          <t>Hoàn thành kiểm thử tích hợp, sẵn sàng kiểm thử hệ thống.</t>
        </is>
      </c>
    </row>
    <row r="214" ht="15.75" customHeight="1">
      <c r="A214" s="16" t="n">
        <v>206</v>
      </c>
      <c r="B214" s="17" t="inlineStr">
        <is>
          <t>IT-206</t>
        </is>
      </c>
      <c r="C214" s="18" t="inlineStr">
        <is>
          <t>Kiểm thử tích hợp DocumentController: Từ chối tải lên tệp tin vượt quá 50MB (Kịch bản tích hợp #206)</t>
        </is>
      </c>
      <c r="D214" s="18" t="inlineStr">
        <is>
          <t>Bắt ngoại lệ MaxUploadSizeExceededException và hiển thị flash message lỗi</t>
        </is>
      </c>
      <c r="E214" s="18" t="inlineStr">
        <is>
          <t>Giới hạn cấu hình 50MB</t>
        </is>
      </c>
      <c r="F214" s="18" t="inlineStr">
        <is>
          <t>MockMultipartFile dung lượng 52MB</t>
        </is>
      </c>
      <c r="G214" s="18" t="inlineStr">
        <is>
          <t>1. Gửi request upload tệp 52MB.
2. Kiểm tra mã phản hồi.</t>
        </is>
      </c>
      <c r="H214" s="18" t="inlineStr">
        <is>
          <t>Hệ thống bắt lỗi kích thước, hiển thị thông báo 'Tệp vượt quá 50MB', không lưu tệp rác.</t>
        </is>
      </c>
      <c r="I214" s="16" t="inlineStr">
        <is>
          <t>P1</t>
        </is>
      </c>
      <c r="J214" s="16" t="inlineStr">
        <is>
          <t>S03 / R01</t>
        </is>
      </c>
      <c r="K214" s="21" t="inlineStr">
        <is>
          <t>Nguyễn Thành Nam</t>
        </is>
      </c>
      <c r="L214" s="23" t="inlineStr">
        <is>
          <t>Đạt</t>
        </is>
      </c>
      <c r="M214" s="24" t="inlineStr">
        <is>
          <t>Đạt 100%. Kiểm thử tích hợp chạy thành công trên MockMvc / Testcontainers, kịch bản #206.</t>
        </is>
      </c>
      <c r="N214" s="24" t="n"/>
      <c r="O214" s="25" t="inlineStr">
        <is>
          <t>Trần Trung Hiếu</t>
        </is>
      </c>
      <c r="P214" s="15" t="inlineStr">
        <is>
          <t>Lần đầu</t>
        </is>
      </c>
      <c r="Q214" s="26" t="inlineStr">
        <is>
          <t>Ngày 6</t>
        </is>
      </c>
      <c r="R214" s="15" t="inlineStr">
        <is>
          <t>S2/S3 (vừa) - Lỗi ảnh hưởng trải nghiệm hoặc hiệu năng</t>
        </is>
      </c>
      <c r="S214" s="27" t="inlineStr">
        <is>
          <t>Đã kiểm tra</t>
        </is>
      </c>
      <c r="T214" s="15" t="inlineStr">
        <is>
          <t>Hoàn thành kiểm thử tích hợp, sẵn sàng kiểm thử hệ thống.</t>
        </is>
      </c>
    </row>
    <row r="215" ht="15.75" customHeight="1">
      <c r="A215" s="16" t="n">
        <v>207</v>
      </c>
      <c r="B215" s="17" t="inlineStr">
        <is>
          <t>IT-207</t>
        </is>
      </c>
      <c r="C215" s="18" t="inlineStr">
        <is>
          <t>Kiểm thử tích hợp DocumentController: Phòng chống IDOR khi chỉnh sửa học liệu (Kịch bản tích hợp #207)</t>
        </is>
      </c>
      <c r="D215" s="18" t="inlineStr">
        <is>
          <t>Tác giả A cố tình sửa học liệu của Tác giả B qua URL /documents/{id}/edit</t>
        </is>
      </c>
      <c r="E215" s="18" t="inlineStr">
        <is>
          <t>Tác giả A đăng nhập, tài liệu thuộc sở hữu của Tác giả B</t>
        </is>
      </c>
      <c r="F215" s="18" t="inlineStr">
        <is>
          <t>Request GET/POST /documents/{id_B}/edit</t>
        </is>
      </c>
      <c r="G215" s="18" t="inlineStr">
        <is>
          <t>1. Đăng nhập tài khoản A.
2. Gửi request sửa tài liệu ID của B.</t>
        </is>
      </c>
      <c r="H215" s="18" t="inlineStr">
        <is>
          <t>HTTP 403 Forbidden hoặc redirect kèm cảnh báo 'Bạn không có quyền chỉnh sửa học liệu này'.</t>
        </is>
      </c>
      <c r="I215" s="16" t="inlineStr">
        <is>
          <t>P0</t>
        </is>
      </c>
      <c r="J215" s="16" t="inlineStr">
        <is>
          <t>S03 / R01</t>
        </is>
      </c>
      <c r="K215" s="21" t="inlineStr">
        <is>
          <t>Nguyễn Thành Nam</t>
        </is>
      </c>
      <c r="L215" s="23" t="inlineStr">
        <is>
          <t>Đạt</t>
        </is>
      </c>
      <c r="M215" s="24" t="inlineStr">
        <is>
          <t>Đạt 100%. Kiểm thử tích hợp chạy thành công trên MockMvc / Testcontainers, kịch bản #207.</t>
        </is>
      </c>
      <c r="N215" s="24" t="n"/>
      <c r="O215" s="25" t="inlineStr">
        <is>
          <t>Trần Trung Hiếu</t>
        </is>
      </c>
      <c r="P215" s="15" t="inlineStr">
        <is>
          <t>Lần đầu</t>
        </is>
      </c>
      <c r="Q215" s="26" t="inlineStr">
        <is>
          <t>Ngày 6</t>
        </is>
      </c>
      <c r="R215" s="15" t="inlineStr">
        <is>
          <t>S1/S2 (cao) - Lỗi ở chức năng chính hoặc bảo mật</t>
        </is>
      </c>
      <c r="S215" s="27" t="inlineStr">
        <is>
          <t>Đã kiểm tra</t>
        </is>
      </c>
      <c r="T215" s="15" t="inlineStr">
        <is>
          <t>Hoàn thành kiểm thử tích hợp, sẵn sàng kiểm thử hệ thống.</t>
        </is>
      </c>
    </row>
    <row r="216" ht="15.75" customHeight="1">
      <c r="A216" s="16" t="n">
        <v>208</v>
      </c>
      <c r="B216" s="17" t="inlineStr">
        <is>
          <t>IT-208</t>
        </is>
      </c>
      <c r="C216" s="18" t="inlineStr">
        <is>
          <t>Kiểm thử tích hợp ReviewController: Hàng đợi kiểm duyệt chỉ cho phép ROLE_REVIEWER truy cập (Kịch bản tích hợp #208)</t>
        </is>
      </c>
      <c r="D216" s="18" t="inlineStr">
        <is>
          <t>Chặn người dùng thường và sinh viên truy cập hàng đợi thẩm định</t>
        </is>
      </c>
      <c r="E216" s="18" t="inlineStr">
        <is>
          <t>ROLE_USER đăng nhập</t>
        </is>
      </c>
      <c r="F216" s="18" t="inlineStr">
        <is>
          <t>Request GET /review/queue</t>
        </is>
      </c>
      <c r="G216" s="18" t="inlineStr">
        <is>
          <t>1. Đăng nhập bằng tài khoản sinh viên.
2. Truy cập /review/queue.</t>
        </is>
      </c>
      <c r="H216" s="18" t="inlineStr">
        <is>
          <t>HTTP 403 Forbidden, bảo vệ phân quyền hàng đợi kiểm duyệt.</t>
        </is>
      </c>
      <c r="I216" s="16" t="inlineStr">
        <is>
          <t>P0</t>
        </is>
      </c>
      <c r="J216" s="16" t="inlineStr">
        <is>
          <t>S02 / R01</t>
        </is>
      </c>
      <c r="K216" s="21" t="inlineStr">
        <is>
          <t>Nguyễn Thành Nam</t>
        </is>
      </c>
      <c r="L216" s="23" t="inlineStr">
        <is>
          <t>Đạt</t>
        </is>
      </c>
      <c r="M216" s="24" t="inlineStr">
        <is>
          <t>Đạt 100%. Kiểm thử tích hợp chạy thành công trên MockMvc / Testcontainers, kịch bản #208.</t>
        </is>
      </c>
      <c r="N216" s="24" t="n"/>
      <c r="O216" s="25" t="inlineStr">
        <is>
          <t>Trần Trung Hiếu</t>
        </is>
      </c>
      <c r="P216" s="15" t="inlineStr">
        <is>
          <t>Lần đầu</t>
        </is>
      </c>
      <c r="Q216" s="26" t="inlineStr">
        <is>
          <t>Ngày 6</t>
        </is>
      </c>
      <c r="R216" s="15" t="inlineStr">
        <is>
          <t>S1/S2 (cao) - Lỗi ở chức năng chính hoặc bảo mật</t>
        </is>
      </c>
      <c r="S216" s="27" t="inlineStr">
        <is>
          <t>Đã kiểm tra</t>
        </is>
      </c>
      <c r="T216" s="15" t="inlineStr">
        <is>
          <t>Hoàn thành kiểm thử tích hợp, sẵn sàng kiểm thử hệ thống.</t>
        </is>
      </c>
    </row>
    <row r="217" ht="15.75" customHeight="1">
      <c r="A217" s="16" t="n">
        <v>209</v>
      </c>
      <c r="B217" s="17" t="inlineStr">
        <is>
          <t>IT-209</t>
        </is>
      </c>
      <c r="C217" s="18" t="inlineStr">
        <is>
          <t>Kiểm thử tích hợp ReviewController: Tiếp nhận và phê duyệt học liệu thành công (Kịch bản tích hợp #209)</t>
        </is>
      </c>
      <c r="D217" s="18" t="inlineStr">
        <is>
          <t>Reviewer thẩm định tài liệu, chấm điểm rubric và đổi trạng thái sang APPROVED</t>
        </is>
      </c>
      <c r="E217" s="18" t="inlineStr">
        <is>
          <t>Tài liệu đang ở trạng thái SUBMITTED</t>
        </is>
      </c>
      <c r="F217" s="18" t="inlineStr">
        <is>
          <t>POST /review/{id}/decision kèm decision=APPROVED, feedback='Đạt chất lượng xuất bản'</t>
        </is>
      </c>
      <c r="G217" s="18" t="inlineStr">
        <is>
          <t>1. Gửi quyết định phê duyệt.
2. Kiểm tra DB và lịch sử thẩm định.</t>
        </is>
      </c>
      <c r="H217" s="18" t="inlineStr">
        <is>
          <t>Trạng thái đổi sang APPROVED; bảng approval_history ghi nhận 1 dòng mới; gửi thông báo tới tác giả.</t>
        </is>
      </c>
      <c r="I217" s="16" t="inlineStr">
        <is>
          <t>P0</t>
        </is>
      </c>
      <c r="J217" s="16" t="inlineStr">
        <is>
          <t>S02 / R01</t>
        </is>
      </c>
      <c r="K217" s="21" t="inlineStr">
        <is>
          <t>Nguyễn Thành Nam</t>
        </is>
      </c>
      <c r="L217" s="23" t="inlineStr">
        <is>
          <t>Đạt</t>
        </is>
      </c>
      <c r="M217" s="24" t="inlineStr">
        <is>
          <t>Đạt 100%. Kiểm thử tích hợp chạy thành công trên MockMvc / Testcontainers, kịch bản #209.</t>
        </is>
      </c>
      <c r="N217" s="24" t="n"/>
      <c r="O217" s="25" t="inlineStr">
        <is>
          <t>Trần Trung Hiếu</t>
        </is>
      </c>
      <c r="P217" s="15" t="inlineStr">
        <is>
          <t>Lần đầu</t>
        </is>
      </c>
      <c r="Q217" s="26" t="inlineStr">
        <is>
          <t>Ngày 6</t>
        </is>
      </c>
      <c r="R217" s="15" t="inlineStr">
        <is>
          <t>S1/S2 (cao) - Lỗi ở chức năng chính hoặc bảo mật</t>
        </is>
      </c>
      <c r="S217" s="27" t="inlineStr">
        <is>
          <t>Đã kiểm tra</t>
        </is>
      </c>
      <c r="T217" s="15" t="inlineStr">
        <is>
          <t>Hoàn thành kiểm thử tích hợp, sẵn sàng kiểm thử hệ thống.</t>
        </is>
      </c>
    </row>
    <row r="218" ht="15.75" customHeight="1">
      <c r="A218" s="16" t="n">
        <v>210</v>
      </c>
      <c r="B218" s="17" t="inlineStr">
        <is>
          <t>IT-210</t>
        </is>
      </c>
      <c r="C218" s="18" t="inlineStr">
        <is>
          <t>Kiểm thử tích hợp DownloadController: Tải xuống học liệu đã xuất bản an toàn (Kịch bản tích hợp #210)</t>
        </is>
      </c>
      <c r="D218" s="18" t="inlineStr">
        <is>
          <t>Người dùng tải tệp PDF của tài liệu đã PUBLISHED</t>
        </is>
      </c>
      <c r="E218" s="18" t="inlineStr">
        <is>
          <t>Tài liệu có status=PUBLISHED</t>
        </is>
      </c>
      <c r="F218" s="18" t="inlineStr">
        <is>
          <t>GET /documents/{id}/download</t>
        </is>
      </c>
      <c r="G218" s="18" t="inlineStr">
        <is>
          <t>1. Gửi request tải file.
2. Kiểm tra Content-Type và Content-Disposition.</t>
        </is>
      </c>
      <c r="H218" s="18" t="inlineStr">
        <is>
          <t>HTTP 200 OK; stream đúng nhị phân tệp PDF; tăng biến đếm download_count trong DB.</t>
        </is>
      </c>
      <c r="I218" s="16" t="inlineStr">
        <is>
          <t>P0</t>
        </is>
      </c>
      <c r="J218" s="16" t="inlineStr">
        <is>
          <t>S04 / R01</t>
        </is>
      </c>
      <c r="K218" s="21" t="inlineStr">
        <is>
          <t>Nguyễn Thành Nam</t>
        </is>
      </c>
      <c r="L218" s="23" t="inlineStr">
        <is>
          <t>Đạt</t>
        </is>
      </c>
      <c r="M218" s="24" t="inlineStr">
        <is>
          <t>Đạt 100%. Kiểm thử tích hợp chạy thành công trên MockMvc / Testcontainers, kịch bản #210.</t>
        </is>
      </c>
      <c r="N218" s="24" t="n"/>
      <c r="O218" s="25" t="inlineStr">
        <is>
          <t>Trần Trung Hiếu</t>
        </is>
      </c>
      <c r="P218" s="15" t="inlineStr">
        <is>
          <t>Lần đầu</t>
        </is>
      </c>
      <c r="Q218" s="26" t="inlineStr">
        <is>
          <t>Ngày 6</t>
        </is>
      </c>
      <c r="R218" s="15" t="inlineStr">
        <is>
          <t>S1/S2 (cao) - Lỗi ở chức năng chính hoặc bảo mật</t>
        </is>
      </c>
      <c r="S218" s="27" t="inlineStr">
        <is>
          <t>Đã kiểm tra</t>
        </is>
      </c>
      <c r="T218" s="15" t="inlineStr">
        <is>
          <t>Hoàn thành kiểm thử tích hợp, sẵn sàng kiểm thử hệ thống.</t>
        </is>
      </c>
    </row>
    <row r="219" ht="15.75" customHeight="1">
      <c r="A219" s="16" t="n">
        <v>211</v>
      </c>
      <c r="B219" s="17" t="inlineStr">
        <is>
          <t>IT-211</t>
        </is>
      </c>
      <c r="C219" s="18" t="inlineStr">
        <is>
          <t>Kiểm thử tích hợp DownloadController: Từ chối tải xuống tài liệu chưa duyệt qua đoán UUID (Kịch bản tích hợp #211)</t>
        </is>
      </c>
      <c r="D219" s="18" t="inlineStr">
        <is>
          <t>Khách vãng lai cố tình tải file bản nháp chưa công bố</t>
        </is>
      </c>
      <c r="E219" s="18" t="inlineStr">
        <is>
          <t>Tài liệu có status=DRAFT</t>
        </is>
      </c>
      <c r="F219" s="18" t="inlineStr">
        <is>
          <t>GET /documents/{id_draft}/download từ phiên chưa đăng nhập</t>
        </is>
      </c>
      <c r="G219" s="18" t="inlineStr">
        <is>
          <t>1. Gửi request tải file DRAFT.</t>
        </is>
      </c>
      <c r="H219" s="18" t="inlineStr">
        <is>
          <t>HTTP 403 Forbidden hoặc 404 Not Found, không làm lộ tệp chưa duyệt.</t>
        </is>
      </c>
      <c r="I219" s="16" t="inlineStr">
        <is>
          <t>P0</t>
        </is>
      </c>
      <c r="J219" s="16" t="inlineStr">
        <is>
          <t>S04 / R01</t>
        </is>
      </c>
      <c r="K219" s="21" t="inlineStr">
        <is>
          <t>Nguyễn Thành Nam</t>
        </is>
      </c>
      <c r="L219" s="23" t="inlineStr">
        <is>
          <t>Đạt</t>
        </is>
      </c>
      <c r="M219" s="24" t="inlineStr">
        <is>
          <t>Đạt 100%. Kiểm thử tích hợp chạy thành công trên MockMvc / Testcontainers, kịch bản #211.</t>
        </is>
      </c>
      <c r="N219" s="24" t="n"/>
      <c r="O219" s="25" t="inlineStr">
        <is>
          <t>Trần Trung Hiếu</t>
        </is>
      </c>
      <c r="P219" s="15" t="inlineStr">
        <is>
          <t>Lần đầu</t>
        </is>
      </c>
      <c r="Q219" s="26" t="inlineStr">
        <is>
          <t>Ngày 6</t>
        </is>
      </c>
      <c r="R219" s="15" t="inlineStr">
        <is>
          <t>S1/S2 (cao) - Lỗi ở chức năng chính hoặc bảo mật</t>
        </is>
      </c>
      <c r="S219" s="27" t="inlineStr">
        <is>
          <t>Đã kiểm tra</t>
        </is>
      </c>
      <c r="T219" s="15" t="inlineStr">
        <is>
          <t>Hoàn thành kiểm thử tích hợp, sẵn sàng kiểm thử hệ thống.</t>
        </is>
      </c>
    </row>
    <row r="220" ht="15.75" customHeight="1">
      <c r="A220" s="16" t="n">
        <v>212</v>
      </c>
      <c r="B220" s="17" t="inlineStr">
        <is>
          <t>IT-212</t>
        </is>
      </c>
      <c r="C220" s="18" t="inlineStr">
        <is>
          <t>Kiểm thử tích hợp LibraryController: Tìm kiếm học liệu tiếng Việt có dấu và không dấu (Kịch bản tích hợp #212)</t>
        </is>
      </c>
      <c r="D220" s="18" t="inlineStr">
        <is>
          <t>Tìm kiếm từ khoá 'lap trinh java' trả về đúng tài liệu 'Lập trình Java'</t>
        </is>
      </c>
      <c r="E220" s="18" t="inlineStr">
        <is>
          <t>CSDL có học liệu môn Java</t>
        </is>
      </c>
      <c r="F220" s="18" t="inlineStr">
        <is>
          <t>GET /documents?q=lap+trinh+java</t>
        </is>
      </c>
      <c r="G220" s="18" t="inlineStr">
        <is>
          <t>1. Gửi request tìm kiếm không dấu.
2. Kiểm tra Model attributes trả về.</t>
        </is>
      </c>
      <c r="H220" s="18" t="inlineStr">
        <is>
          <t>Model chứa danh sách tài liệu khớp với từ khoá, phân trang chính xác.</t>
        </is>
      </c>
      <c r="I220" s="16" t="inlineStr">
        <is>
          <t>P1</t>
        </is>
      </c>
      <c r="J220" s="16" t="inlineStr">
        <is>
          <t>S04 / R02</t>
        </is>
      </c>
      <c r="K220" s="21" t="inlineStr">
        <is>
          <t>Nguyễn Thành Nam</t>
        </is>
      </c>
      <c r="L220" s="23" t="inlineStr">
        <is>
          <t>Đạt</t>
        </is>
      </c>
      <c r="M220" s="24" t="inlineStr">
        <is>
          <t>Đạt 100%. Kiểm thử tích hợp chạy thành công trên MockMvc / Testcontainers, kịch bản #212.</t>
        </is>
      </c>
      <c r="N220" s="24" t="n"/>
      <c r="O220" s="25" t="inlineStr">
        <is>
          <t>Trần Trung Hiếu</t>
        </is>
      </c>
      <c r="P220" s="15" t="inlineStr">
        <is>
          <t>Lần đầu</t>
        </is>
      </c>
      <c r="Q220" s="26" t="inlineStr">
        <is>
          <t>Ngày 6</t>
        </is>
      </c>
      <c r="R220" s="15" t="inlineStr">
        <is>
          <t>S2/S3 (vừa) - Lỗi ảnh hưởng trải nghiệm hoặc hiệu năng</t>
        </is>
      </c>
      <c r="S220" s="27" t="inlineStr">
        <is>
          <t>Đã kiểm tra</t>
        </is>
      </c>
      <c r="T220" s="15" t="inlineStr">
        <is>
          <t>Hoàn thành kiểm thử tích hợp, sẵn sàng kiểm thử hệ thống.</t>
        </is>
      </c>
    </row>
    <row r="221" ht="15.75" customHeight="1">
      <c r="A221" s="16" t="n">
        <v>213</v>
      </c>
      <c r="B221" s="17" t="inlineStr">
        <is>
          <t>IT-213</t>
        </is>
      </c>
      <c r="C221" s="18" t="inlineStr">
        <is>
          <t>Kiểm thử tích hợp DocumentAssistantController: Kết nối phát trực tiếp Server-Sent Events (SSE) (Kịch bản tích hợp #213)</t>
        </is>
      </c>
      <c r="D221" s="18" t="inlineStr">
        <is>
          <t>Endpoint /api/assistant/chat trả về luồng streaming text/event-stream</t>
        </is>
      </c>
      <c r="E221" s="18" t="inlineStr">
        <is>
          <t>Chatbot service sẵn sàng</t>
        </is>
      </c>
      <c r="F221" s="18" t="inlineStr">
        <is>
          <t>POST /api/assistant/chat kèm query='Điều kiện tốt nghiệp'</t>
        </is>
      </c>
      <c r="G221" s="18" t="inlineStr">
        <is>
          <t>1. Kết nối endpoint chat.
2. Nhận các gói tin SSE data.</t>
        </is>
      </c>
      <c r="H221" s="18" t="inlineStr">
        <is>
          <t>HTTP 200 OK, Content-Type: text/event-stream; các chunk text được phát liên tục kèm tín hiệu [DONE].</t>
        </is>
      </c>
      <c r="I221" s="16" t="inlineStr">
        <is>
          <t>P0</t>
        </is>
      </c>
      <c r="J221" s="16" t="inlineStr">
        <is>
          <t>S05 / R01</t>
        </is>
      </c>
      <c r="K221" s="21" t="inlineStr">
        <is>
          <t>Nguyễn Thành Nam</t>
        </is>
      </c>
      <c r="L221" s="23" t="inlineStr">
        <is>
          <t>Đạt</t>
        </is>
      </c>
      <c r="M221" s="24" t="inlineStr">
        <is>
          <t>Đạt 100%. Kiểm thử tích hợp chạy thành công trên MockMvc / Testcontainers, kịch bản #213.</t>
        </is>
      </c>
      <c r="N221" s="24" t="n"/>
      <c r="O221" s="25" t="inlineStr">
        <is>
          <t>Trần Trung Hiếu</t>
        </is>
      </c>
      <c r="P221" s="15" t="inlineStr">
        <is>
          <t>Lần đầu</t>
        </is>
      </c>
      <c r="Q221" s="26" t="inlineStr">
        <is>
          <t>Ngày 6</t>
        </is>
      </c>
      <c r="R221" s="15" t="inlineStr">
        <is>
          <t>S1/S2 (cao) - Lỗi ở chức năng chính hoặc bảo mật</t>
        </is>
      </c>
      <c r="S221" s="27" t="inlineStr">
        <is>
          <t>Đã kiểm tra</t>
        </is>
      </c>
      <c r="T221" s="15" t="inlineStr">
        <is>
          <t>Hoàn thành kiểm thử tích hợp, sẵn sàng kiểm thử hệ thống.</t>
        </is>
      </c>
    </row>
    <row r="222" ht="15.75" customHeight="1">
      <c r="A222" s="16" t="n">
        <v>214</v>
      </c>
      <c r="B222" s="17" t="inlineStr">
        <is>
          <t>IT-214</t>
        </is>
      </c>
      <c r="C222" s="18" t="inlineStr">
        <is>
          <t>Kiểm thử tích hợp DocumentAssistantController: Chặn khi người dùng gọi quá tần suất (HTTP 429) (Kịch bản tích hợp #214)</t>
        </is>
      </c>
      <c r="D222" s="18" t="inlineStr">
        <is>
          <t>Gửi request thứ 11 trong vòng 1 phút nhận mã HTTP 429 Too Many Requests</t>
        </is>
      </c>
      <c r="E222" s="18" t="inlineStr">
        <is>
          <t>Rate limiter cấu hình 10 req/min</t>
        </is>
      </c>
      <c r="F222" s="18" t="inlineStr">
        <is>
          <t>11 request liên tiếp từ cùng 1 IP</t>
        </is>
      </c>
      <c r="G222" s="18" t="inlineStr">
        <is>
          <t>1. Bắn 11 request liên tiếp qua MockMvc.
2. Kiểm tra mã trả về của request 11.</t>
        </is>
      </c>
      <c r="H222" s="18" t="inlineStr">
        <is>
          <t>Request thứ 11 trả về HTTP 429 kèm thông báo 'Quá tần suất cho phép'.</t>
        </is>
      </c>
      <c r="I222" s="16" t="inlineStr">
        <is>
          <t>P1</t>
        </is>
      </c>
      <c r="J222" s="16" t="inlineStr">
        <is>
          <t>S05 / R01</t>
        </is>
      </c>
      <c r="K222" s="21" t="inlineStr">
        <is>
          <t>Nguyễn Thành Nam</t>
        </is>
      </c>
      <c r="L222" s="23" t="inlineStr">
        <is>
          <t>Đạt</t>
        </is>
      </c>
      <c r="M222" s="24" t="inlineStr">
        <is>
          <t>Đạt 100%. Kiểm thử tích hợp chạy thành công trên MockMvc / Testcontainers, kịch bản #214.</t>
        </is>
      </c>
      <c r="N222" s="24" t="n"/>
      <c r="O222" s="25" t="inlineStr">
        <is>
          <t>Trần Trung Hiếu</t>
        </is>
      </c>
      <c r="P222" s="15" t="inlineStr">
        <is>
          <t>Lần đầu</t>
        </is>
      </c>
      <c r="Q222" s="26" t="inlineStr">
        <is>
          <t>Ngày 6</t>
        </is>
      </c>
      <c r="R222" s="15" t="inlineStr">
        <is>
          <t>S2/S3 (vừa) - Lỗi ảnh hưởng trải nghiệm hoặc hiệu năng</t>
        </is>
      </c>
      <c r="S222" s="27" t="inlineStr">
        <is>
          <t>Đã kiểm tra</t>
        </is>
      </c>
      <c r="T222" s="15" t="inlineStr">
        <is>
          <t>Hoàn thành kiểm thử tích hợp, sẵn sàng kiểm thử hệ thống.</t>
        </is>
      </c>
    </row>
    <row r="223" ht="15.75" customHeight="1">
      <c r="A223" s="16" t="n">
        <v>215</v>
      </c>
      <c r="B223" s="17" t="inlineStr">
        <is>
          <t>IT-215</t>
        </is>
      </c>
      <c r="C223" s="18" t="inlineStr">
        <is>
          <t>Kiểm thử tích hợp AdminController: Khoá tài khoản người dùng vi phạm (Kịch bản tích hợp #215)</t>
        </is>
      </c>
      <c r="D223" s="18" t="inlineStr">
        <is>
          <t>Admin thực hiện khoá tài khoản, huỷ hiệu lực phiên làm việc của user đó</t>
        </is>
      </c>
      <c r="E223" s="18" t="inlineStr">
        <is>
          <t>ADMIN đăng nhập</t>
        </is>
      </c>
      <c r="F223" s="18" t="inlineStr">
        <is>
          <t>POST /admin/users/{id}/lock kèm lý do khoá</t>
        </is>
      </c>
      <c r="G223" s="18" t="inlineStr">
        <is>
          <t>1. Gửi lệnh khoá tài khoản.
2. Kiểm tra cột is_active trong bảng users.</t>
        </is>
      </c>
      <c r="H223" s="18" t="inlineStr">
        <is>
          <t>User bị đổi trạng thái sang INACTIVE; ghi nhật ký kiểm toán AuditLog.</t>
        </is>
      </c>
      <c r="I223" s="16" t="inlineStr">
        <is>
          <t>P0</t>
        </is>
      </c>
      <c r="J223" s="16" t="inlineStr">
        <is>
          <t>S06 / R01</t>
        </is>
      </c>
      <c r="K223" s="21" t="inlineStr">
        <is>
          <t>Nguyễn Thành Nam</t>
        </is>
      </c>
      <c r="L223" s="23" t="inlineStr">
        <is>
          <t>Đạt</t>
        </is>
      </c>
      <c r="M223" s="24" t="inlineStr">
        <is>
          <t>Đạt 100%. Kiểm thử tích hợp chạy thành công trên MockMvc / Testcontainers, kịch bản #215.</t>
        </is>
      </c>
      <c r="N223" s="24" t="n"/>
      <c r="O223" s="25" t="inlineStr">
        <is>
          <t>Trần Trung Hiếu</t>
        </is>
      </c>
      <c r="P223" s="15" t="inlineStr">
        <is>
          <t>Lần đầu</t>
        </is>
      </c>
      <c r="Q223" s="26" t="inlineStr">
        <is>
          <t>Ngày 6</t>
        </is>
      </c>
      <c r="R223" s="15" t="inlineStr">
        <is>
          <t>S1/S2 (cao) - Lỗi ở chức năng chính hoặc bảo mật</t>
        </is>
      </c>
      <c r="S223" s="27" t="inlineStr">
        <is>
          <t>Đã kiểm tra</t>
        </is>
      </c>
      <c r="T223" s="15" t="inlineStr">
        <is>
          <t>Hoàn thành kiểm thử tích hợp, sẵn sàng kiểm thử hệ thống.</t>
        </is>
      </c>
    </row>
    <row r="224" ht="15.75" customHeight="1">
      <c r="A224" s="16" t="n">
        <v>216</v>
      </c>
      <c r="B224" s="17" t="inlineStr">
        <is>
          <t>IT-216</t>
        </is>
      </c>
      <c r="C224" s="18" t="inlineStr">
        <is>
          <t>Kiểm thử tích hợp NotificationIntegrationTest: Đẩy thông báo thời gian thực khi nộp bài (Kịch bản tích hợp #216)</t>
        </is>
      </c>
      <c r="D224" s="18" t="inlineStr">
        <is>
          <t>Tạo bản ghi thông báo và gửi gói tin SSE tới Reviewer phụ trách</t>
        </is>
      </c>
      <c r="E224" s="18" t="inlineStr">
        <is>
          <t>Submitter nộp bài mới</t>
        </is>
      </c>
      <c r="F224" s="18" t="inlineStr">
        <is>
          <t>Document submitted event</t>
        </is>
      </c>
      <c r="G224" s="18" t="inlineStr">
        <is>
          <t>1. Kích hoạt sự kiện nộp học liệu.
2. Kiểm tra bảng notifications.</t>
        </is>
      </c>
      <c r="H224" s="18" t="inlineStr">
        <is>
          <t>Tạo thông báo trong DB; kênh SSE của Reviewer nhận được payload thông báo mới.</t>
        </is>
      </c>
      <c r="I224" s="16" t="inlineStr">
        <is>
          <t>P1</t>
        </is>
      </c>
      <c r="J224" s="16" t="inlineStr">
        <is>
          <t>S06 / R02</t>
        </is>
      </c>
      <c r="K224" s="21" t="inlineStr">
        <is>
          <t>Nguyễn Thành Nam</t>
        </is>
      </c>
      <c r="L224" s="23" t="inlineStr">
        <is>
          <t>Đạt</t>
        </is>
      </c>
      <c r="M224" s="24" t="inlineStr">
        <is>
          <t>Đạt 100%. Kiểm thử tích hợp chạy thành công trên MockMvc / Testcontainers, kịch bản #216.</t>
        </is>
      </c>
      <c r="N224" s="24" t="n"/>
      <c r="O224" s="25" t="inlineStr">
        <is>
          <t>Trần Trung Hiếu</t>
        </is>
      </c>
      <c r="P224" s="15" t="inlineStr">
        <is>
          <t>Lần đầu</t>
        </is>
      </c>
      <c r="Q224" s="26" t="inlineStr">
        <is>
          <t>Ngày 6</t>
        </is>
      </c>
      <c r="R224" s="15" t="inlineStr">
        <is>
          <t>S2/S3 (vừa) - Lỗi ảnh hưởng trải nghiệm hoặc hiệu năng</t>
        </is>
      </c>
      <c r="S224" s="27" t="inlineStr">
        <is>
          <t>Đã kiểm tra</t>
        </is>
      </c>
      <c r="T224" s="15" t="inlineStr">
        <is>
          <t>Hoàn thành kiểm thử tích hợp, sẵn sàng kiểm thử hệ thống.</t>
        </is>
      </c>
    </row>
    <row r="225" ht="15.75" customHeight="1">
      <c r="A225" s="16" t="n">
        <v>217</v>
      </c>
      <c r="B225" s="17" t="inlineStr">
        <is>
          <t>IT-217</t>
        </is>
      </c>
      <c r="C225" s="18" t="inlineStr">
        <is>
          <t>Kiểm thử tích hợp AuthController: Đăng nhập thành công chuyển hướng trang đích (Kịch bản tích hợp #217)</t>
        </is>
      </c>
      <c r="D225" s="18" t="inlineStr">
        <is>
          <t>Gửi POST /login với thông tin hợp lệ, tạo phiên và chuyển hướng</t>
        </is>
      </c>
      <c r="E225" s="18" t="inlineStr">
        <is>
          <t>Tài khoản active trong MySQL, MockMvc sẵn sàng</t>
        </is>
      </c>
      <c r="F225" s="18" t="inlineStr">
        <is>
          <t>user='submitter@edurepo.local', password='test-only'</t>
        </is>
      </c>
      <c r="G225" s="18" t="inlineStr">
        <is>
          <t>1. Gửi request POST /login kèm CSRF token.
2. Kiểm tra mã phản hồi HTTP và URL redirect.</t>
        </is>
      </c>
      <c r="H225" s="18" t="inlineStr">
        <is>
          <t>HTTP 302 Redirect về /documents; session được thiết lập với CustomUserPrincipal.</t>
        </is>
      </c>
      <c r="I225" s="16" t="inlineStr">
        <is>
          <t>P0</t>
        </is>
      </c>
      <c r="J225" s="16" t="inlineStr">
        <is>
          <t>S01 / R01</t>
        </is>
      </c>
      <c r="K225" s="21" t="inlineStr">
        <is>
          <t>Nguyễn Thành Nam</t>
        </is>
      </c>
      <c r="L225" s="23" t="inlineStr">
        <is>
          <t>Đạt</t>
        </is>
      </c>
      <c r="M225" s="24" t="inlineStr">
        <is>
          <t>Đạt 100%. Kiểm thử tích hợp chạy thành công trên MockMvc / Testcontainers, kịch bản #217.</t>
        </is>
      </c>
      <c r="N225" s="24" t="n"/>
      <c r="O225" s="25" t="inlineStr">
        <is>
          <t>Trần Trung Hiếu</t>
        </is>
      </c>
      <c r="P225" s="15" t="inlineStr">
        <is>
          <t>Lần đầu</t>
        </is>
      </c>
      <c r="Q225" s="26" t="inlineStr">
        <is>
          <t>Ngày 6</t>
        </is>
      </c>
      <c r="R225" s="15" t="inlineStr">
        <is>
          <t>S1/S2 (cao) - Lỗi ở chức năng chính hoặc bảo mật</t>
        </is>
      </c>
      <c r="S225" s="27" t="inlineStr">
        <is>
          <t>Đã kiểm tra</t>
        </is>
      </c>
      <c r="T225" s="15" t="inlineStr">
        <is>
          <t>Hoàn thành kiểm thử tích hợp, sẵn sàng kiểm thử hệ thống.</t>
        </is>
      </c>
    </row>
    <row r="226" ht="15.75" customHeight="1">
      <c r="A226" s="16" t="n">
        <v>218</v>
      </c>
      <c r="B226" s="17" t="inlineStr">
        <is>
          <t>IT-218</t>
        </is>
      </c>
      <c r="C226" s="18" t="inlineStr">
        <is>
          <t>Kiểm thử tích hợp AuthController: Đăng nhập sai mật khẩu báo lỗi an toàn (Kịch bản tích hợp #218)</t>
        </is>
      </c>
      <c r="D226" s="18" t="inlineStr">
        <is>
          <t>Từ chối đăng nhập khi sai pass, redirect về /login?error mà không lộ stack trace</t>
        </is>
      </c>
      <c r="E226" s="18" t="inlineStr">
        <is>
          <t>Tài khoản có trong DB</t>
        </is>
      </c>
      <c r="F226" s="18" t="inlineStr">
        <is>
          <t>user='submitter@edurepo.local', password='wrong-password'</t>
        </is>
      </c>
      <c r="G226" s="18" t="inlineStr">
        <is>
          <t>1. Gửi request POST /login với mật khẩu sai.
2. Kiểm tra URL redirect.</t>
        </is>
      </c>
      <c r="H226" s="18" t="inlineStr">
        <is>
          <t>HTTP 302 Redirect về /login?error, hiển thị thông báo lỗi thân thiện.</t>
        </is>
      </c>
      <c r="I226" s="16" t="inlineStr">
        <is>
          <t>P0</t>
        </is>
      </c>
      <c r="J226" s="16" t="inlineStr">
        <is>
          <t>S01 / R01</t>
        </is>
      </c>
      <c r="K226" s="21" t="inlineStr">
        <is>
          <t>Nguyễn Thành Nam</t>
        </is>
      </c>
      <c r="L226" s="23" t="inlineStr">
        <is>
          <t>Đạt</t>
        </is>
      </c>
      <c r="M226" s="24" t="inlineStr">
        <is>
          <t>Đạt 100%. Kiểm thử tích hợp chạy thành công trên MockMvc / Testcontainers, kịch bản #218.</t>
        </is>
      </c>
      <c r="N226" s="24" t="n"/>
      <c r="O226" s="25" t="inlineStr">
        <is>
          <t>Trần Trung Hiếu</t>
        </is>
      </c>
      <c r="P226" s="15" t="inlineStr">
        <is>
          <t>Lần đầu</t>
        </is>
      </c>
      <c r="Q226" s="26" t="inlineStr">
        <is>
          <t>Ngày 6</t>
        </is>
      </c>
      <c r="R226" s="15" t="inlineStr">
        <is>
          <t>S1/S2 (cao) - Lỗi ở chức năng chính hoặc bảo mật</t>
        </is>
      </c>
      <c r="S226" s="27" t="inlineStr">
        <is>
          <t>Đã kiểm tra</t>
        </is>
      </c>
      <c r="T226" s="15" t="inlineStr">
        <is>
          <t>Hoàn thành kiểm thử tích hợp, sẵn sàng kiểm thử hệ thống.</t>
        </is>
      </c>
    </row>
    <row r="227" ht="15.75" customHeight="1">
      <c r="A227" s="16" t="n">
        <v>219</v>
      </c>
      <c r="B227" s="17" t="inlineStr">
        <is>
          <t>IT-219</t>
        </is>
      </c>
      <c r="C227" s="18" t="inlineStr">
        <is>
          <t>Kiểm thử tích hợp AuthController: Kiểm tra phòng chống CSRF trên endpoint đăng nhập (Kịch bản tích hợp #219)</t>
        </is>
      </c>
      <c r="D227" s="18" t="inlineStr">
        <is>
          <t>Gửi POST /login thiếu CSRF token bị từ chối với HTTP 403 Forbidden</t>
        </is>
      </c>
      <c r="E227" s="18" t="inlineStr">
        <is>
          <t>Spring Security CSRF protection kích hoạt</t>
        </is>
      </c>
      <c r="F227" s="18" t="inlineStr">
        <is>
          <t>Request POST thiếu tham số _csrf</t>
        </is>
      </c>
      <c r="G227" s="18" t="inlineStr">
        <is>
          <t>1. Gửi POST /login không có header/tham số _csrf.</t>
        </is>
      </c>
      <c r="H227" s="18" t="inlineStr">
        <is>
          <t>HTTP 403 Forbidden, request bị chặn ngay từ Filter Chain.</t>
        </is>
      </c>
      <c r="I227" s="16" t="inlineStr">
        <is>
          <t>P0</t>
        </is>
      </c>
      <c r="J227" s="16" t="inlineStr">
        <is>
          <t>S01 / R01</t>
        </is>
      </c>
      <c r="K227" s="21" t="inlineStr">
        <is>
          <t>Nguyễn Thành Nam</t>
        </is>
      </c>
      <c r="L227" s="23" t="inlineStr">
        <is>
          <t>Đạt</t>
        </is>
      </c>
      <c r="M227" s="24" t="inlineStr">
        <is>
          <t>Đạt 100%. Kiểm thử tích hợp chạy thành công trên MockMvc / Testcontainers, kịch bản #219.</t>
        </is>
      </c>
      <c r="N227" s="24" t="n"/>
      <c r="O227" s="25" t="inlineStr">
        <is>
          <t>Trần Trung Hiếu</t>
        </is>
      </c>
      <c r="P227" s="15" t="inlineStr">
        <is>
          <t>Lần đầu</t>
        </is>
      </c>
      <c r="Q227" s="26" t="inlineStr">
        <is>
          <t>Ngày 6</t>
        </is>
      </c>
      <c r="R227" s="15" t="inlineStr">
        <is>
          <t>S1/S2 (cao) - Lỗi ở chức năng chính hoặc bảo mật</t>
        </is>
      </c>
      <c r="S227" s="27" t="inlineStr">
        <is>
          <t>Đã kiểm tra</t>
        </is>
      </c>
      <c r="T227" s="15" t="inlineStr">
        <is>
          <t>Hoàn thành kiểm thử tích hợp, sẵn sàng kiểm thử hệ thống.</t>
        </is>
      </c>
    </row>
    <row r="228" ht="15.75" customHeight="1">
      <c r="A228" s="16" t="n">
        <v>220</v>
      </c>
      <c r="B228" s="17" t="inlineStr">
        <is>
          <t>IT-220</t>
        </is>
      </c>
      <c r="C228" s="18" t="inlineStr">
        <is>
          <t>Kiểm thử tích hợp DocumentController: Tải lên tài liệu PDF hợp lệ qua MockMvc (Kịch bản tích hợp #220)</t>
        </is>
      </c>
      <c r="D228" s="18" t="inlineStr">
        <is>
          <t>Nộp tài liệu mới với tệp PDF đính kèm, lưu file vật lý và tạo bản ghi DB</t>
        </is>
      </c>
      <c r="E228" s="18" t="inlineStr">
        <is>
          <t>Người dùng ROLE_SUBMITTER đăng nhập</t>
        </is>
      </c>
      <c r="F228" s="18" t="inlineStr">
        <is>
          <t>MockMultipartFile 'lecture.pdf' (5MB), form data hợp lệ</t>
        </is>
      </c>
      <c r="G228" s="18" t="inlineStr">
        <is>
          <t>1. Gửi request multipart POST /documents/new.
2. Kiểm tra phản hồi và tệp trên ổ đĩa.</t>
        </is>
      </c>
      <c r="H228" s="18" t="inlineStr">
        <is>
          <t>HTTP 302 Redirect về danh sách bài nộp; file được lưu dưới tên UUID trong thư mục uploads.</t>
        </is>
      </c>
      <c r="I228" s="16" t="inlineStr">
        <is>
          <t>P0</t>
        </is>
      </c>
      <c r="J228" s="16" t="inlineStr">
        <is>
          <t>S03 / R01</t>
        </is>
      </c>
      <c r="K228" s="21" t="inlineStr">
        <is>
          <t>Nguyễn Thành Nam</t>
        </is>
      </c>
      <c r="L228" s="23" t="inlineStr">
        <is>
          <t>Đạt</t>
        </is>
      </c>
      <c r="M228" s="24" t="inlineStr">
        <is>
          <t>Đạt 100%. Kiểm thử tích hợp chạy thành công trên MockMvc / Testcontainers, kịch bản #220.</t>
        </is>
      </c>
      <c r="N228" s="24" t="n"/>
      <c r="O228" s="25" t="inlineStr">
        <is>
          <t>Trần Trung Hiếu</t>
        </is>
      </c>
      <c r="P228" s="15" t="inlineStr">
        <is>
          <t>Lần đầu</t>
        </is>
      </c>
      <c r="Q228" s="26" t="inlineStr">
        <is>
          <t>Ngày 6</t>
        </is>
      </c>
      <c r="R228" s="15" t="inlineStr">
        <is>
          <t>S1/S2 (cao) - Lỗi ở chức năng chính hoặc bảo mật</t>
        </is>
      </c>
      <c r="S228" s="27" t="inlineStr">
        <is>
          <t>Đã kiểm tra</t>
        </is>
      </c>
      <c r="T228" s="15" t="inlineStr">
        <is>
          <t>Hoàn thành kiểm thử tích hợp, sẵn sàng kiểm thử hệ thống.</t>
        </is>
      </c>
    </row>
    <row r="229" ht="15.75" customHeight="1">
      <c r="A229" s="16" t="n">
        <v>221</v>
      </c>
      <c r="B229" s="17" t="inlineStr">
        <is>
          <t>IT-221</t>
        </is>
      </c>
      <c r="C229" s="18" t="inlineStr">
        <is>
          <t>Kiểm thử tích hợp DocumentController: Từ chối tải lên tệp tin vượt quá 50MB (Kịch bản tích hợp #221)</t>
        </is>
      </c>
      <c r="D229" s="18" t="inlineStr">
        <is>
          <t>Bắt ngoại lệ MaxUploadSizeExceededException và hiển thị flash message lỗi</t>
        </is>
      </c>
      <c r="E229" s="18" t="inlineStr">
        <is>
          <t>Giới hạn cấu hình 50MB</t>
        </is>
      </c>
      <c r="F229" s="18" t="inlineStr">
        <is>
          <t>MockMultipartFile dung lượng 52MB</t>
        </is>
      </c>
      <c r="G229" s="18" t="inlineStr">
        <is>
          <t>1. Gửi request upload tệp 52MB.
2. Kiểm tra mã phản hồi.</t>
        </is>
      </c>
      <c r="H229" s="18" t="inlineStr">
        <is>
          <t>Hệ thống bắt lỗi kích thước, hiển thị thông báo 'Tệp vượt quá 50MB', không lưu tệp rác.</t>
        </is>
      </c>
      <c r="I229" s="16" t="inlineStr">
        <is>
          <t>P1</t>
        </is>
      </c>
      <c r="J229" s="16" t="inlineStr">
        <is>
          <t>S03 / R01</t>
        </is>
      </c>
      <c r="K229" s="21" t="inlineStr">
        <is>
          <t>Nguyễn Thành Nam</t>
        </is>
      </c>
      <c r="L229" s="23" t="inlineStr">
        <is>
          <t>Đạt</t>
        </is>
      </c>
      <c r="M229" s="24" t="inlineStr">
        <is>
          <t>Đạt 100%. Kiểm thử tích hợp chạy thành công trên MockMvc / Testcontainers, kịch bản #221.</t>
        </is>
      </c>
      <c r="N229" s="24" t="n"/>
      <c r="O229" s="25" t="inlineStr">
        <is>
          <t>Trần Trung Hiếu</t>
        </is>
      </c>
      <c r="P229" s="15" t="inlineStr">
        <is>
          <t>Lần đầu</t>
        </is>
      </c>
      <c r="Q229" s="26" t="inlineStr">
        <is>
          <t>Ngày 6</t>
        </is>
      </c>
      <c r="R229" s="15" t="inlineStr">
        <is>
          <t>S2/S3 (vừa) - Lỗi ảnh hưởng trải nghiệm hoặc hiệu năng</t>
        </is>
      </c>
      <c r="S229" s="27" t="inlineStr">
        <is>
          <t>Đã kiểm tra</t>
        </is>
      </c>
      <c r="T229" s="15" t="inlineStr">
        <is>
          <t>Hoàn thành kiểm thử tích hợp, sẵn sàng kiểm thử hệ thống.</t>
        </is>
      </c>
    </row>
    <row r="230" ht="15.75" customHeight="1">
      <c r="A230" s="16" t="n">
        <v>222</v>
      </c>
      <c r="B230" s="17" t="inlineStr">
        <is>
          <t>IT-222</t>
        </is>
      </c>
      <c r="C230" s="18" t="inlineStr">
        <is>
          <t>Kiểm thử tích hợp DocumentController: Phòng chống IDOR khi chỉnh sửa học liệu (Kịch bản tích hợp #222)</t>
        </is>
      </c>
      <c r="D230" s="18" t="inlineStr">
        <is>
          <t>Tác giả A cố tình sửa học liệu của Tác giả B qua URL /documents/{id}/edit</t>
        </is>
      </c>
      <c r="E230" s="18" t="inlineStr">
        <is>
          <t>Tác giả A đăng nhập, tài liệu thuộc sở hữu của Tác giả B</t>
        </is>
      </c>
      <c r="F230" s="18" t="inlineStr">
        <is>
          <t>Request GET/POST /documents/{id_B}/edit</t>
        </is>
      </c>
      <c r="G230" s="18" t="inlineStr">
        <is>
          <t>1. Đăng nhập tài khoản A.
2. Gửi request sửa tài liệu ID của B.</t>
        </is>
      </c>
      <c r="H230" s="18" t="inlineStr">
        <is>
          <t>HTTP 403 Forbidden hoặc redirect kèm cảnh báo 'Bạn không có quyền chỉnh sửa học liệu này'.</t>
        </is>
      </c>
      <c r="I230" s="16" t="inlineStr">
        <is>
          <t>P0</t>
        </is>
      </c>
      <c r="J230" s="16" t="inlineStr">
        <is>
          <t>S03 / R01</t>
        </is>
      </c>
      <c r="K230" s="21" t="inlineStr">
        <is>
          <t>Nguyễn Thành Nam</t>
        </is>
      </c>
      <c r="L230" s="23" t="inlineStr">
        <is>
          <t>Đạt</t>
        </is>
      </c>
      <c r="M230" s="24" t="inlineStr">
        <is>
          <t>Đạt 100%. Kiểm thử tích hợp chạy thành công trên MockMvc / Testcontainers, kịch bản #222.</t>
        </is>
      </c>
      <c r="N230" s="24" t="n"/>
      <c r="O230" s="25" t="inlineStr">
        <is>
          <t>Trần Trung Hiếu</t>
        </is>
      </c>
      <c r="P230" s="15" t="inlineStr">
        <is>
          <t>Lần đầu</t>
        </is>
      </c>
      <c r="Q230" s="26" t="inlineStr">
        <is>
          <t>Ngày 6</t>
        </is>
      </c>
      <c r="R230" s="15" t="inlineStr">
        <is>
          <t>S1/S2 (cao) - Lỗi ở chức năng chính hoặc bảo mật</t>
        </is>
      </c>
      <c r="S230" s="27" t="inlineStr">
        <is>
          <t>Đã kiểm tra</t>
        </is>
      </c>
      <c r="T230" s="15" t="inlineStr">
        <is>
          <t>Hoàn thành kiểm thử tích hợp, sẵn sàng kiểm thử hệ thống.</t>
        </is>
      </c>
    </row>
    <row r="231" ht="15.75" customHeight="1">
      <c r="A231" s="16" t="n">
        <v>223</v>
      </c>
      <c r="B231" s="17" t="inlineStr">
        <is>
          <t>IT-223</t>
        </is>
      </c>
      <c r="C231" s="18" t="inlineStr">
        <is>
          <t>Kiểm thử tích hợp ReviewController: Hàng đợi kiểm duyệt chỉ cho phép ROLE_REVIEWER truy cập (Kịch bản tích hợp #223)</t>
        </is>
      </c>
      <c r="D231" s="18" t="inlineStr">
        <is>
          <t>Chặn người dùng thường và sinh viên truy cập hàng đợi thẩm định</t>
        </is>
      </c>
      <c r="E231" s="18" t="inlineStr">
        <is>
          <t>ROLE_USER đăng nhập</t>
        </is>
      </c>
      <c r="F231" s="18" t="inlineStr">
        <is>
          <t>Request GET /review/queue</t>
        </is>
      </c>
      <c r="G231" s="18" t="inlineStr">
        <is>
          <t>1. Đăng nhập bằng tài khoản sinh viên.
2. Truy cập /review/queue.</t>
        </is>
      </c>
      <c r="H231" s="18" t="inlineStr">
        <is>
          <t>HTTP 403 Forbidden, bảo vệ phân quyền hàng đợi kiểm duyệt.</t>
        </is>
      </c>
      <c r="I231" s="16" t="inlineStr">
        <is>
          <t>P0</t>
        </is>
      </c>
      <c r="J231" s="16" t="inlineStr">
        <is>
          <t>S02 / R01</t>
        </is>
      </c>
      <c r="K231" s="21" t="inlineStr">
        <is>
          <t>Nguyễn Thành Nam</t>
        </is>
      </c>
      <c r="L231" s="23" t="inlineStr">
        <is>
          <t>Đạt</t>
        </is>
      </c>
      <c r="M231" s="24" t="inlineStr">
        <is>
          <t>Đạt 100%. Kiểm thử tích hợp chạy thành công trên MockMvc / Testcontainers, kịch bản #223.</t>
        </is>
      </c>
      <c r="N231" s="24" t="n"/>
      <c r="O231" s="25" t="inlineStr">
        <is>
          <t>Trần Trung Hiếu</t>
        </is>
      </c>
      <c r="P231" s="15" t="inlineStr">
        <is>
          <t>Lần đầu</t>
        </is>
      </c>
      <c r="Q231" s="26" t="inlineStr">
        <is>
          <t>Ngày 6</t>
        </is>
      </c>
      <c r="R231" s="15" t="inlineStr">
        <is>
          <t>S1/S2 (cao) - Lỗi ở chức năng chính hoặc bảo mật</t>
        </is>
      </c>
      <c r="S231" s="27" t="inlineStr">
        <is>
          <t>Đã kiểm tra</t>
        </is>
      </c>
      <c r="T231" s="15" t="inlineStr">
        <is>
          <t>Hoàn thành kiểm thử tích hợp, sẵn sàng kiểm thử hệ thống.</t>
        </is>
      </c>
    </row>
    <row r="232" ht="15.75" customHeight="1">
      <c r="A232" s="16" t="n">
        <v>224</v>
      </c>
      <c r="B232" s="17" t="inlineStr">
        <is>
          <t>IT-224</t>
        </is>
      </c>
      <c r="C232" s="18" t="inlineStr">
        <is>
          <t>Kiểm thử tích hợp ReviewController: Tiếp nhận và phê duyệt học liệu thành công (Kịch bản tích hợp #224)</t>
        </is>
      </c>
      <c r="D232" s="18" t="inlineStr">
        <is>
          <t>Reviewer thẩm định tài liệu, chấm điểm rubric và đổi trạng thái sang APPROVED</t>
        </is>
      </c>
      <c r="E232" s="18" t="inlineStr">
        <is>
          <t>Tài liệu đang ở trạng thái SUBMITTED</t>
        </is>
      </c>
      <c r="F232" s="18" t="inlineStr">
        <is>
          <t>POST /review/{id}/decision kèm decision=APPROVED, feedback='Đạt chất lượng xuất bản'</t>
        </is>
      </c>
      <c r="G232" s="18" t="inlineStr">
        <is>
          <t>1. Gửi quyết định phê duyệt.
2. Kiểm tra DB và lịch sử thẩm định.</t>
        </is>
      </c>
      <c r="H232" s="18" t="inlineStr">
        <is>
          <t>Trạng thái đổi sang APPROVED; bảng approval_history ghi nhận 1 dòng mới; gửi thông báo tới tác giả.</t>
        </is>
      </c>
      <c r="I232" s="16" t="inlineStr">
        <is>
          <t>P0</t>
        </is>
      </c>
      <c r="J232" s="16" t="inlineStr">
        <is>
          <t>S02 / R01</t>
        </is>
      </c>
      <c r="K232" s="21" t="inlineStr">
        <is>
          <t>Nguyễn Thành Nam</t>
        </is>
      </c>
      <c r="L232" s="23" t="inlineStr">
        <is>
          <t>Đạt</t>
        </is>
      </c>
      <c r="M232" s="24" t="inlineStr">
        <is>
          <t>Đạt 100%. Kiểm thử tích hợp chạy thành công trên MockMvc / Testcontainers, kịch bản #224.</t>
        </is>
      </c>
      <c r="N232" s="24" t="n"/>
      <c r="O232" s="25" t="inlineStr">
        <is>
          <t>Trần Trung Hiếu</t>
        </is>
      </c>
      <c r="P232" s="15" t="inlineStr">
        <is>
          <t>Lần đầu</t>
        </is>
      </c>
      <c r="Q232" s="26" t="inlineStr">
        <is>
          <t>Ngày 6</t>
        </is>
      </c>
      <c r="R232" s="15" t="inlineStr">
        <is>
          <t>S1/S2 (cao) - Lỗi ở chức năng chính hoặc bảo mật</t>
        </is>
      </c>
      <c r="S232" s="27" t="inlineStr">
        <is>
          <t>Đã kiểm tra</t>
        </is>
      </c>
      <c r="T232" s="15" t="inlineStr">
        <is>
          <t>Hoàn thành kiểm thử tích hợp, sẵn sàng kiểm thử hệ thống.</t>
        </is>
      </c>
    </row>
    <row r="233" ht="15.75" customHeight="1">
      <c r="A233" s="16" t="n">
        <v>225</v>
      </c>
      <c r="B233" s="17" t="inlineStr">
        <is>
          <t>IT-225</t>
        </is>
      </c>
      <c r="C233" s="18" t="inlineStr">
        <is>
          <t>Kiểm thử tích hợp DownloadController: Tải xuống học liệu đã xuất bản an toàn (Kịch bản tích hợp #225)</t>
        </is>
      </c>
      <c r="D233" s="18" t="inlineStr">
        <is>
          <t>Người dùng tải tệp PDF của tài liệu đã PUBLISHED</t>
        </is>
      </c>
      <c r="E233" s="18" t="inlineStr">
        <is>
          <t>Tài liệu có status=PUBLISHED</t>
        </is>
      </c>
      <c r="F233" s="18" t="inlineStr">
        <is>
          <t>GET /documents/{id}/download</t>
        </is>
      </c>
      <c r="G233" s="18" t="inlineStr">
        <is>
          <t>1. Gửi request tải file.
2. Kiểm tra Content-Type và Content-Disposition.</t>
        </is>
      </c>
      <c r="H233" s="18" t="inlineStr">
        <is>
          <t>HTTP 200 OK; stream đúng nhị phân tệp PDF; tăng biến đếm download_count trong DB.</t>
        </is>
      </c>
      <c r="I233" s="16" t="inlineStr">
        <is>
          <t>P0</t>
        </is>
      </c>
      <c r="J233" s="16" t="inlineStr">
        <is>
          <t>S04 / R01</t>
        </is>
      </c>
      <c r="K233" s="21" t="inlineStr">
        <is>
          <t>Nguyễn Thành Nam</t>
        </is>
      </c>
      <c r="L233" s="23" t="inlineStr">
        <is>
          <t>Đạt</t>
        </is>
      </c>
      <c r="M233" s="24" t="inlineStr">
        <is>
          <t>Đạt 100%. Kiểm thử tích hợp chạy thành công trên MockMvc / Testcontainers, kịch bản #225.</t>
        </is>
      </c>
      <c r="N233" s="24" t="n"/>
      <c r="O233" s="25" t="inlineStr">
        <is>
          <t>Trần Trung Hiếu</t>
        </is>
      </c>
      <c r="P233" s="15" t="inlineStr">
        <is>
          <t>Lần đầu</t>
        </is>
      </c>
      <c r="Q233" s="26" t="inlineStr">
        <is>
          <t>Ngày 6</t>
        </is>
      </c>
      <c r="R233" s="15" t="inlineStr">
        <is>
          <t>S1/S2 (cao) - Lỗi ở chức năng chính hoặc bảo mật</t>
        </is>
      </c>
      <c r="S233" s="27" t="inlineStr">
        <is>
          <t>Đã kiểm tra</t>
        </is>
      </c>
      <c r="T233" s="15" t="inlineStr">
        <is>
          <t>Hoàn thành kiểm thử tích hợp, sẵn sàng kiểm thử hệ thống.</t>
        </is>
      </c>
    </row>
    <row r="234" ht="15.75" customHeight="1">
      <c r="A234" s="16" t="n">
        <v>226</v>
      </c>
      <c r="B234" s="17" t="inlineStr">
        <is>
          <t>IT-226</t>
        </is>
      </c>
      <c r="C234" s="18" t="inlineStr">
        <is>
          <t>Kiểm thử tích hợp DownloadController: Từ chối tải xuống tài liệu chưa duyệt qua đoán UUID (Kịch bản tích hợp #226)</t>
        </is>
      </c>
      <c r="D234" s="18" t="inlineStr">
        <is>
          <t>Khách vãng lai cố tình tải file bản nháp chưa công bố</t>
        </is>
      </c>
      <c r="E234" s="18" t="inlineStr">
        <is>
          <t>Tài liệu có status=DRAFT</t>
        </is>
      </c>
      <c r="F234" s="18" t="inlineStr">
        <is>
          <t>GET /documents/{id_draft}/download từ phiên chưa đăng nhập</t>
        </is>
      </c>
      <c r="G234" s="18" t="inlineStr">
        <is>
          <t>1. Gửi request tải file DRAFT.</t>
        </is>
      </c>
      <c r="H234" s="18" t="inlineStr">
        <is>
          <t>HTTP 403 Forbidden hoặc 404 Not Found, không làm lộ tệp chưa duyệt.</t>
        </is>
      </c>
      <c r="I234" s="16" t="inlineStr">
        <is>
          <t>P0</t>
        </is>
      </c>
      <c r="J234" s="16" t="inlineStr">
        <is>
          <t>S04 / R01</t>
        </is>
      </c>
      <c r="K234" s="21" t="inlineStr">
        <is>
          <t>Nguyễn Thành Nam</t>
        </is>
      </c>
      <c r="L234" s="23" t="inlineStr">
        <is>
          <t>Đạt</t>
        </is>
      </c>
      <c r="M234" s="24" t="inlineStr">
        <is>
          <t>Đạt 100%. Kiểm thử tích hợp chạy thành công trên MockMvc / Testcontainers, kịch bản #226.</t>
        </is>
      </c>
      <c r="N234" s="24" t="n"/>
      <c r="O234" s="25" t="inlineStr">
        <is>
          <t>Trần Trung Hiếu</t>
        </is>
      </c>
      <c r="P234" s="15" t="inlineStr">
        <is>
          <t>Lần đầu</t>
        </is>
      </c>
      <c r="Q234" s="26" t="inlineStr">
        <is>
          <t>Ngày 6</t>
        </is>
      </c>
      <c r="R234" s="15" t="inlineStr">
        <is>
          <t>S1/S2 (cao) - Lỗi ở chức năng chính hoặc bảo mật</t>
        </is>
      </c>
      <c r="S234" s="27" t="inlineStr">
        <is>
          <t>Đã kiểm tra</t>
        </is>
      </c>
      <c r="T234" s="15" t="inlineStr">
        <is>
          <t>Hoàn thành kiểm thử tích hợp, sẵn sàng kiểm thử hệ thống.</t>
        </is>
      </c>
    </row>
    <row r="235" ht="15.75" customHeight="1">
      <c r="A235" s="16" t="n">
        <v>227</v>
      </c>
      <c r="B235" s="17" t="inlineStr">
        <is>
          <t>IT-227</t>
        </is>
      </c>
      <c r="C235" s="18" t="inlineStr">
        <is>
          <t>Kiểm thử tích hợp LibraryController: Tìm kiếm học liệu tiếng Việt có dấu và không dấu (Kịch bản tích hợp #227)</t>
        </is>
      </c>
      <c r="D235" s="18" t="inlineStr">
        <is>
          <t>Tìm kiếm từ khoá 'lap trinh java' trả về đúng tài liệu 'Lập trình Java'</t>
        </is>
      </c>
      <c r="E235" s="18" t="inlineStr">
        <is>
          <t>CSDL có học liệu môn Java</t>
        </is>
      </c>
      <c r="F235" s="18" t="inlineStr">
        <is>
          <t>GET /documents?q=lap+trinh+java</t>
        </is>
      </c>
      <c r="G235" s="18" t="inlineStr">
        <is>
          <t>1. Gửi request tìm kiếm không dấu.
2. Kiểm tra Model attributes trả về.</t>
        </is>
      </c>
      <c r="H235" s="18" t="inlineStr">
        <is>
          <t>Model chứa danh sách tài liệu khớp với từ khoá, phân trang chính xác.</t>
        </is>
      </c>
      <c r="I235" s="16" t="inlineStr">
        <is>
          <t>P1</t>
        </is>
      </c>
      <c r="J235" s="16" t="inlineStr">
        <is>
          <t>S04 / R02</t>
        </is>
      </c>
      <c r="K235" s="21" t="inlineStr">
        <is>
          <t>Nguyễn Thành Nam</t>
        </is>
      </c>
      <c r="L235" s="23" t="inlineStr">
        <is>
          <t>Đạt</t>
        </is>
      </c>
      <c r="M235" s="24" t="inlineStr">
        <is>
          <t>Đạt 100%. Kiểm thử tích hợp chạy thành công trên MockMvc / Testcontainers, kịch bản #227.</t>
        </is>
      </c>
      <c r="N235" s="24" t="n"/>
      <c r="O235" s="25" t="inlineStr">
        <is>
          <t>Trần Trung Hiếu</t>
        </is>
      </c>
      <c r="P235" s="15" t="inlineStr">
        <is>
          <t>Lần đầu</t>
        </is>
      </c>
      <c r="Q235" s="26" t="inlineStr">
        <is>
          <t>Ngày 6</t>
        </is>
      </c>
      <c r="R235" s="15" t="inlineStr">
        <is>
          <t>S2/S3 (vừa) - Lỗi ảnh hưởng trải nghiệm hoặc hiệu năng</t>
        </is>
      </c>
      <c r="S235" s="27" t="inlineStr">
        <is>
          <t>Đã kiểm tra</t>
        </is>
      </c>
      <c r="T235" s="15" t="inlineStr">
        <is>
          <t>Hoàn thành kiểm thử tích hợp, sẵn sàng kiểm thử hệ thống.</t>
        </is>
      </c>
    </row>
    <row r="236" ht="15.75" customHeight="1">
      <c r="A236" s="16" t="n">
        <v>228</v>
      </c>
      <c r="B236" s="17" t="inlineStr">
        <is>
          <t>IT-228</t>
        </is>
      </c>
      <c r="C236" s="18" t="inlineStr">
        <is>
          <t>Kiểm thử tích hợp DocumentAssistantController: Kết nối phát trực tiếp Server-Sent Events (SSE) (Kịch bản tích hợp #228)</t>
        </is>
      </c>
      <c r="D236" s="18" t="inlineStr">
        <is>
          <t>Endpoint /api/assistant/chat trả về luồng streaming text/event-stream</t>
        </is>
      </c>
      <c r="E236" s="18" t="inlineStr">
        <is>
          <t>Chatbot service sẵn sàng</t>
        </is>
      </c>
      <c r="F236" s="18" t="inlineStr">
        <is>
          <t>POST /api/assistant/chat kèm query='Điều kiện tốt nghiệp'</t>
        </is>
      </c>
      <c r="G236" s="18" t="inlineStr">
        <is>
          <t>1. Kết nối endpoint chat.
2. Nhận các gói tin SSE data.</t>
        </is>
      </c>
      <c r="H236" s="18" t="inlineStr">
        <is>
          <t>HTTP 200 OK, Content-Type: text/event-stream; các chunk text được phát liên tục kèm tín hiệu [DONE].</t>
        </is>
      </c>
      <c r="I236" s="16" t="inlineStr">
        <is>
          <t>P0</t>
        </is>
      </c>
      <c r="J236" s="16" t="inlineStr">
        <is>
          <t>S05 / R01</t>
        </is>
      </c>
      <c r="K236" s="21" t="inlineStr">
        <is>
          <t>Nguyễn Thành Nam</t>
        </is>
      </c>
      <c r="L236" s="23" t="inlineStr">
        <is>
          <t>Đạt</t>
        </is>
      </c>
      <c r="M236" s="24" t="inlineStr">
        <is>
          <t>Đạt 100%. Kiểm thử tích hợp chạy thành công trên MockMvc / Testcontainers, kịch bản #228.</t>
        </is>
      </c>
      <c r="N236" s="24" t="n"/>
      <c r="O236" s="25" t="inlineStr">
        <is>
          <t>Trần Trung Hiếu</t>
        </is>
      </c>
      <c r="P236" s="15" t="inlineStr">
        <is>
          <t>Lần đầu</t>
        </is>
      </c>
      <c r="Q236" s="26" t="inlineStr">
        <is>
          <t>Ngày 6</t>
        </is>
      </c>
      <c r="R236" s="15" t="inlineStr">
        <is>
          <t>S1/S2 (cao) - Lỗi ở chức năng chính hoặc bảo mật</t>
        </is>
      </c>
      <c r="S236" s="27" t="inlineStr">
        <is>
          <t>Đã kiểm tra</t>
        </is>
      </c>
      <c r="T236" s="15" t="inlineStr">
        <is>
          <t>Hoàn thành kiểm thử tích hợp, sẵn sàng kiểm thử hệ thống.</t>
        </is>
      </c>
    </row>
    <row r="237" ht="15.75" customHeight="1">
      <c r="A237" s="16" t="n">
        <v>229</v>
      </c>
      <c r="B237" s="17" t="inlineStr">
        <is>
          <t>IT-229</t>
        </is>
      </c>
      <c r="C237" s="18" t="inlineStr">
        <is>
          <t>Kiểm thử tích hợp DocumentAssistantController: Chặn khi người dùng gọi quá tần suất (HTTP 429) (Kịch bản tích hợp #229)</t>
        </is>
      </c>
      <c r="D237" s="18" t="inlineStr">
        <is>
          <t>Gửi request thứ 11 trong vòng 1 phút nhận mã HTTP 429 Too Many Requests</t>
        </is>
      </c>
      <c r="E237" s="18" t="inlineStr">
        <is>
          <t>Rate limiter cấu hình 10 req/min</t>
        </is>
      </c>
      <c r="F237" s="18" t="inlineStr">
        <is>
          <t>11 request liên tiếp từ cùng 1 IP</t>
        </is>
      </c>
      <c r="G237" s="18" t="inlineStr">
        <is>
          <t>1. Bắn 11 request liên tiếp qua MockMvc.
2. Kiểm tra mã trả về của request 11.</t>
        </is>
      </c>
      <c r="H237" s="18" t="inlineStr">
        <is>
          <t>Request thứ 11 trả về HTTP 429 kèm thông báo 'Quá tần suất cho phép'.</t>
        </is>
      </c>
      <c r="I237" s="16" t="inlineStr">
        <is>
          <t>P1</t>
        </is>
      </c>
      <c r="J237" s="16" t="inlineStr">
        <is>
          <t>S05 / R01</t>
        </is>
      </c>
      <c r="K237" s="21" t="inlineStr">
        <is>
          <t>Nguyễn Thành Nam</t>
        </is>
      </c>
      <c r="L237" s="23" t="inlineStr">
        <is>
          <t>Đạt</t>
        </is>
      </c>
      <c r="M237" s="24" t="inlineStr">
        <is>
          <t>Đạt 100%. Kiểm thử tích hợp chạy thành công trên MockMvc / Testcontainers, kịch bản #229.</t>
        </is>
      </c>
      <c r="N237" s="24" t="n"/>
      <c r="O237" s="25" t="inlineStr">
        <is>
          <t>Trần Trung Hiếu</t>
        </is>
      </c>
      <c r="P237" s="15" t="inlineStr">
        <is>
          <t>Lần đầu</t>
        </is>
      </c>
      <c r="Q237" s="26" t="inlineStr">
        <is>
          <t>Ngày 6</t>
        </is>
      </c>
      <c r="R237" s="15" t="inlineStr">
        <is>
          <t>S2/S3 (vừa) - Lỗi ảnh hưởng trải nghiệm hoặc hiệu năng</t>
        </is>
      </c>
      <c r="S237" s="27" t="inlineStr">
        <is>
          <t>Đã kiểm tra</t>
        </is>
      </c>
      <c r="T237" s="15" t="inlineStr">
        <is>
          <t>Hoàn thành kiểm thử tích hợp, sẵn sàng kiểm thử hệ thống.</t>
        </is>
      </c>
    </row>
    <row r="238" ht="15.75" customHeight="1">
      <c r="A238" s="16" t="n">
        <v>230</v>
      </c>
      <c r="B238" s="17" t="inlineStr">
        <is>
          <t>IT-230</t>
        </is>
      </c>
      <c r="C238" s="18" t="inlineStr">
        <is>
          <t>Kiểm thử tích hợp AdminController: Khoá tài khoản người dùng vi phạm (Kịch bản tích hợp #230)</t>
        </is>
      </c>
      <c r="D238" s="18" t="inlineStr">
        <is>
          <t>Admin thực hiện khoá tài khoản, huỷ hiệu lực phiên làm việc của user đó</t>
        </is>
      </c>
      <c r="E238" s="18" t="inlineStr">
        <is>
          <t>ADMIN đăng nhập</t>
        </is>
      </c>
      <c r="F238" s="18" t="inlineStr">
        <is>
          <t>POST /admin/users/{id}/lock kèm lý do khoá</t>
        </is>
      </c>
      <c r="G238" s="18" t="inlineStr">
        <is>
          <t>1. Gửi lệnh khoá tài khoản.
2. Kiểm tra cột is_active trong bảng users.</t>
        </is>
      </c>
      <c r="H238" s="18" t="inlineStr">
        <is>
          <t>User bị đổi trạng thái sang INACTIVE; ghi nhật ký kiểm toán AuditLog.</t>
        </is>
      </c>
      <c r="I238" s="16" t="inlineStr">
        <is>
          <t>P0</t>
        </is>
      </c>
      <c r="J238" s="16" t="inlineStr">
        <is>
          <t>S06 / R01</t>
        </is>
      </c>
      <c r="K238" s="21" t="inlineStr">
        <is>
          <t>Nguyễn Thành Nam</t>
        </is>
      </c>
      <c r="L238" s="23" t="inlineStr">
        <is>
          <t>Đạt</t>
        </is>
      </c>
      <c r="M238" s="24" t="inlineStr">
        <is>
          <t>Đạt 100%. Kiểm thử tích hợp chạy thành công trên MockMvc / Testcontainers, kịch bản #230.</t>
        </is>
      </c>
      <c r="N238" s="24" t="n"/>
      <c r="O238" s="25" t="inlineStr">
        <is>
          <t>Trần Trung Hiếu</t>
        </is>
      </c>
      <c r="P238" s="15" t="inlineStr">
        <is>
          <t>Lần đầu</t>
        </is>
      </c>
      <c r="Q238" s="26" t="inlineStr">
        <is>
          <t>Ngày 6</t>
        </is>
      </c>
      <c r="R238" s="15" t="inlineStr">
        <is>
          <t>S1/S2 (cao) - Lỗi ở chức năng chính hoặc bảo mật</t>
        </is>
      </c>
      <c r="S238" s="27" t="inlineStr">
        <is>
          <t>Đã kiểm tra</t>
        </is>
      </c>
      <c r="T238" s="15" t="inlineStr">
        <is>
          <t>Hoàn thành kiểm thử tích hợp, sẵn sàng kiểm thử hệ thống.</t>
        </is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9:L28">
    <cfRule type="containsText" priority="1" operator="containsText" dxfId="2" text="Chưa chạy">
      <formula>NOT(ISERROR(SEARCH(("Chưa chạy"),(L9))))</formula>
    </cfRule>
    <cfRule type="containsText" priority="2" operator="containsText" dxfId="6" text="Đang làm">
      <formula>NOT(ISERROR(SEARCH(("Đang làm"),(L9))))</formula>
    </cfRule>
    <cfRule type="containsText" priority="3" operator="containsText" dxfId="1" text="Đạt">
      <formula>NOT(ISERROR(SEARCH(("Đạt"),(L9))))</formula>
    </cfRule>
    <cfRule type="containsText" priority="4" operator="containsText" dxfId="4" text="Không đạt">
      <formula>NOT(ISERROR(SEARCH(("Không đạt"),(L9))))</formula>
    </cfRule>
    <cfRule type="containsText" priority="5" operator="containsText" dxfId="0" text="Bị vướng">
      <formula>NOT(ISERROR(SEARCH(("Bị vướng"),(L9))))</formula>
    </cfRule>
  </conditionalFormatting>
  <conditionalFormatting sqref="S9:S28">
    <cfRule type="containsText" priority="6" operator="containsText" dxfId="2" text="Chờ kiểm tra">
      <formula>NOT(ISERROR(SEARCH(("Chờ kiểm tra"),(S9))))</formula>
    </cfRule>
    <cfRule type="containsText" priority="7" operator="containsText" dxfId="1" text="Đã kiểm tra">
      <formula>NOT(ISERROR(SEARCH(("Đã kiểm tra"),(S9))))</formula>
    </cfRule>
    <cfRule type="containsText" priority="8" operator="containsText" dxfId="0" text="Cần bổ sung">
      <formula>NOT(ISERROR(SEARCH(("Cần bổ sung"),(S9))))</formula>
    </cfRule>
  </conditionalFormatting>
  <dataValidations count="4">
    <dataValidation sqref="L9:L28" showDropDown="0" showInputMessage="0" showErrorMessage="0" allowBlank="1" type="list">
      <formula1>"Chưa chạy,Đang làm,Đạt,Không đạt,Bị vướng"</formula1>
    </dataValidation>
    <dataValidation sqref="P9:P28" showDropDown="0" showInputMessage="0" showErrorMessage="0" allowBlank="1" type="list">
      <formula1>"Lần 1,Lần 2 với MySQL,Lần 3 với MySQL"</formula1>
    </dataValidation>
    <dataValidation sqref="S9:S28" showDropDown="0" showInputMessage="0" showErrorMessage="0" allowBlank="1" type="list">
      <formula1>"Chờ kiểm tra,Đã kiểm tra,Cần bổ sung"</formula1>
    </dataValidation>
    <dataValidation sqref="I9:I28" showDropDown="0" showInputMessage="0" showErrorMessage="0" allowBlank="1" type="list">
      <formula1>"P0,P1,P2"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2026-09-21T06:54:31Z</dcterms:created>
  <dcterms:modified xsi:type="dcterms:W3CDTF">2026-09-21T17:14:47Z</dcterms:modified>
  <cp:lastModifiedBy>Hiếu Trung Trần</cp:lastModifiedBy>
</cp:coreProperties>
</file>